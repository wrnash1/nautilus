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adi0-my.sharepoint.com/personal/blanca_williams_padi_com/Documents/Desktop/Pros/Pro Site Migration/"/>
    </mc:Choice>
  </mc:AlternateContent>
  <xr:revisionPtr revIDLastSave="0" documentId="8_{4F266B30-D2AD-4382-A205-E70E830514AF}" xr6:coauthVersionLast="47" xr6:coauthVersionMax="47" xr10:uidLastSave="{00000000-0000-0000-0000-000000000000}"/>
  <bookViews>
    <workbookView xWindow="-120" yWindow="-120" windowWidth="29040" windowHeight="15720" tabRatio="917" xr2:uid="{729D8EB9-E9A0-4A6F-A082-31857D989BEE}"/>
  </bookViews>
  <sheets>
    <sheet name="Data Entry" sheetId="2" r:id="rId1"/>
    <sheet name="Total Course Profit" sheetId="15" r:id="rId2"/>
    <sheet name=" Fixed Expenses" sheetId="1" r:id="rId3"/>
    <sheet name="Open Water" sheetId="3" r:id="rId4"/>
    <sheet name="Advanced" sheetId="9" r:id="rId5"/>
    <sheet name="Adventure Diver" sheetId="4" r:id="rId6"/>
    <sheet name=" EFR" sheetId="23" r:id="rId7"/>
    <sheet name="Rescue" sheetId="5" r:id="rId8"/>
    <sheet name="Divemaster" sheetId="6" r:id="rId9"/>
    <sheet name="Assistant Instructor" sheetId="7" r:id="rId10"/>
    <sheet name="OWSI" sheetId="8" r:id="rId11"/>
    <sheet name="PADI Seal Team" sheetId="16" r:id="rId12"/>
    <sheet name="Bubblemaker" sheetId="22" r:id="rId13"/>
    <sheet name="Specialty (1)" sheetId="10" r:id="rId14"/>
    <sheet name="Specialty (2)" sheetId="11" r:id="rId15"/>
    <sheet name="Specialty (3)" sheetId="12" r:id="rId16"/>
    <sheet name="Specialty (4)" sheetId="13" r:id="rId17"/>
    <sheet name="Specialty (5)" sheetId="14" r:id="rId18"/>
    <sheet name="Specialty (6)" sheetId="17" r:id="rId19"/>
    <sheet name="Specialty (7)" sheetId="18" r:id="rId20"/>
    <sheet name="Specialty (8)" sheetId="19" r:id="rId21"/>
    <sheet name="Specialty (9)" sheetId="20" r:id="rId22"/>
    <sheet name="Specialty (10)" sheetId="21" r:id="rId23"/>
  </sheets>
  <definedNames>
    <definedName name="_xlnm._FilterDatabase" localSheetId="14" hidden="1">'Specialty (2)'!#REF!</definedName>
    <definedName name="_xlnm.Print_Area" localSheetId="2">' Fixed Expenses'!$A$1:$L$70</definedName>
    <definedName name="_xlnm.Print_Area" localSheetId="0">'Data Entry'!$A$1:$I$38</definedName>
    <definedName name="_xlnm.Print_Area" localSheetId="3">'Open Water'!$A$1:$M$78</definedName>
    <definedName name="_xlnm.Print_Area" localSheetId="1">'Total Course Profit'!$A$1:$N$31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C18" i="2"/>
  <c r="A13" i="2" s="1"/>
  <c r="A66" i="1" s="1"/>
  <c r="F21" i="2"/>
  <c r="G21" i="2"/>
  <c r="H21" i="2"/>
  <c r="A1" i="15"/>
  <c r="B4" i="15"/>
  <c r="L37" i="1"/>
  <c r="L38" i="1"/>
  <c r="L40" i="1"/>
  <c r="L41" i="1"/>
  <c r="L58" i="1" s="1"/>
  <c r="L60" i="1" s="1"/>
  <c r="L42" i="1"/>
  <c r="L43" i="1"/>
  <c r="L44" i="1"/>
  <c r="L46" i="1"/>
  <c r="L47" i="1"/>
  <c r="L48" i="1"/>
  <c r="L50" i="1"/>
  <c r="L51" i="1"/>
  <c r="L52" i="1"/>
  <c r="L53" i="1"/>
  <c r="L54" i="1"/>
  <c r="L55" i="1"/>
  <c r="L56" i="1"/>
  <c r="L57" i="1"/>
  <c r="L24" i="1"/>
  <c r="L25" i="1"/>
  <c r="L33" i="1" s="1"/>
  <c r="L26" i="1"/>
  <c r="L27" i="1"/>
  <c r="L28" i="1"/>
  <c r="L29" i="1"/>
  <c r="L30" i="1"/>
  <c r="L9" i="1"/>
  <c r="L10" i="1"/>
  <c r="L11" i="1"/>
  <c r="L12" i="1"/>
  <c r="L13" i="1"/>
  <c r="L14" i="1"/>
  <c r="L15" i="1"/>
  <c r="L16" i="1"/>
  <c r="L17" i="1"/>
  <c r="L3" i="1"/>
  <c r="H53" i="13" s="1"/>
  <c r="G11" i="3"/>
  <c r="K17" i="3"/>
  <c r="K27" i="3" s="1"/>
  <c r="K18" i="3"/>
  <c r="K19" i="3"/>
  <c r="K20" i="3"/>
  <c r="K21" i="3"/>
  <c r="K22" i="3"/>
  <c r="K23" i="3"/>
  <c r="K24" i="3"/>
  <c r="K25" i="3"/>
  <c r="K26" i="3"/>
  <c r="K30" i="3"/>
  <c r="K33" i="3"/>
  <c r="K35" i="3"/>
  <c r="K37" i="3"/>
  <c r="K40" i="3"/>
  <c r="G42" i="3"/>
  <c r="K42" i="3" s="1"/>
  <c r="K52" i="3" s="1"/>
  <c r="K43" i="3"/>
  <c r="K44" i="3"/>
  <c r="K45" i="3"/>
  <c r="K46" i="3"/>
  <c r="K48" i="3"/>
  <c r="K49" i="3"/>
  <c r="K50" i="3"/>
  <c r="K51" i="3"/>
  <c r="F7" i="15"/>
  <c r="G8" i="4"/>
  <c r="H53" i="4"/>
  <c r="L14" i="4"/>
  <c r="L15" i="4"/>
  <c r="L16" i="4"/>
  <c r="L17" i="4"/>
  <c r="L18" i="4"/>
  <c r="L19" i="4"/>
  <c r="L20" i="4"/>
  <c r="L21" i="4"/>
  <c r="L22" i="4"/>
  <c r="L23" i="4"/>
  <c r="L27" i="4"/>
  <c r="L28" i="4"/>
  <c r="L30" i="4"/>
  <c r="G32" i="4"/>
  <c r="L32" i="4" s="1"/>
  <c r="L33" i="4"/>
  <c r="L34" i="4"/>
  <c r="L35" i="4"/>
  <c r="L36" i="4"/>
  <c r="L38" i="4"/>
  <c r="L39" i="4"/>
  <c r="L40" i="4"/>
  <c r="L41" i="4"/>
  <c r="F8" i="15"/>
  <c r="G67" i="4"/>
  <c r="G8" i="9"/>
  <c r="H53" i="9" s="1"/>
  <c r="L14" i="9"/>
  <c r="L15" i="9"/>
  <c r="L16" i="9"/>
  <c r="L17" i="9"/>
  <c r="L24" i="9"/>
  <c r="L18" i="9"/>
  <c r="L19" i="9"/>
  <c r="L20" i="9"/>
  <c r="L21" i="9"/>
  <c r="L22" i="9"/>
  <c r="L23" i="9"/>
  <c r="L27" i="9"/>
  <c r="L28" i="9"/>
  <c r="L30" i="9"/>
  <c r="G32" i="9"/>
  <c r="L32" i="9" s="1"/>
  <c r="L42" i="9" s="1"/>
  <c r="L44" i="9" s="1"/>
  <c r="D53" i="9" s="1"/>
  <c r="L33" i="9"/>
  <c r="L34" i="9"/>
  <c r="L35" i="9"/>
  <c r="L36" i="9"/>
  <c r="L38" i="9"/>
  <c r="L39" i="9"/>
  <c r="L40" i="9"/>
  <c r="L41" i="9"/>
  <c r="G67" i="9"/>
  <c r="G8" i="23"/>
  <c r="H53" i="23" s="1"/>
  <c r="L14" i="23"/>
  <c r="L15" i="23"/>
  <c r="L16" i="23"/>
  <c r="L17" i="23"/>
  <c r="L18" i="23"/>
  <c r="L19" i="23"/>
  <c r="L20" i="23"/>
  <c r="L21" i="23"/>
  <c r="L22" i="23"/>
  <c r="L23" i="23"/>
  <c r="L27" i="23"/>
  <c r="L28" i="23"/>
  <c r="L30" i="23"/>
  <c r="L42" i="23"/>
  <c r="G32" i="23"/>
  <c r="L32" i="23"/>
  <c r="L33" i="23"/>
  <c r="L34" i="23"/>
  <c r="L35" i="23"/>
  <c r="L36" i="23"/>
  <c r="L38" i="23"/>
  <c r="L39" i="23"/>
  <c r="L40" i="23"/>
  <c r="L41" i="23"/>
  <c r="F10" i="15"/>
  <c r="G67" i="23"/>
  <c r="G8" i="5"/>
  <c r="H53" i="5"/>
  <c r="L14" i="5"/>
  <c r="L15" i="5"/>
  <c r="L16" i="5"/>
  <c r="L17" i="5"/>
  <c r="L18" i="5"/>
  <c r="L19" i="5"/>
  <c r="L20" i="5"/>
  <c r="L21" i="5"/>
  <c r="L22" i="5"/>
  <c r="L23" i="5"/>
  <c r="L27" i="5"/>
  <c r="L28" i="5"/>
  <c r="L30" i="5"/>
  <c r="L42" i="5" s="1"/>
  <c r="L44" i="5" s="1"/>
  <c r="D53" i="5" s="1"/>
  <c r="G32" i="5"/>
  <c r="L32" i="5"/>
  <c r="L33" i="5"/>
  <c r="L34" i="5"/>
  <c r="L35" i="5"/>
  <c r="L36" i="5"/>
  <c r="L38" i="5"/>
  <c r="L39" i="5"/>
  <c r="L40" i="5"/>
  <c r="L41" i="5"/>
  <c r="F11" i="15"/>
  <c r="G8" i="6"/>
  <c r="H53" i="6"/>
  <c r="L14" i="6"/>
  <c r="L15" i="6"/>
  <c r="L16" i="6"/>
  <c r="L17" i="6"/>
  <c r="L18" i="6"/>
  <c r="L19" i="6"/>
  <c r="L20" i="6"/>
  <c r="L21" i="6"/>
  <c r="L22" i="6"/>
  <c r="L23" i="6"/>
  <c r="L27" i="6"/>
  <c r="L28" i="6"/>
  <c r="L42" i="6" s="1"/>
  <c r="L30" i="6"/>
  <c r="G32" i="6"/>
  <c r="L32" i="6"/>
  <c r="L33" i="6"/>
  <c r="L34" i="6"/>
  <c r="L35" i="6"/>
  <c r="L36" i="6"/>
  <c r="L38" i="6"/>
  <c r="L39" i="6"/>
  <c r="L40" i="6"/>
  <c r="L41" i="6"/>
  <c r="F12" i="15"/>
  <c r="G67" i="6"/>
  <c r="G8" i="7"/>
  <c r="H53" i="7"/>
  <c r="L14" i="7"/>
  <c r="L15" i="7"/>
  <c r="L16" i="7"/>
  <c r="L24" i="7" s="1"/>
  <c r="L44" i="7" s="1"/>
  <c r="D53" i="7" s="1"/>
  <c r="L17" i="7"/>
  <c r="L18" i="7"/>
  <c r="L19" i="7"/>
  <c r="L20" i="7"/>
  <c r="L21" i="7"/>
  <c r="L22" i="7"/>
  <c r="L23" i="7"/>
  <c r="L27" i="7"/>
  <c r="L28" i="7"/>
  <c r="L30" i="7"/>
  <c r="G32" i="7"/>
  <c r="L32" i="7"/>
  <c r="L42" i="7" s="1"/>
  <c r="L33" i="7"/>
  <c r="L34" i="7"/>
  <c r="L35" i="7"/>
  <c r="L36" i="7"/>
  <c r="L38" i="7"/>
  <c r="L39" i="7"/>
  <c r="L40" i="7"/>
  <c r="L41" i="7"/>
  <c r="F13" i="15"/>
  <c r="H53" i="8"/>
  <c r="L14" i="8"/>
  <c r="L24" i="8" s="1"/>
  <c r="L44" i="8" s="1"/>
  <c r="D53" i="8" s="1"/>
  <c r="L15" i="8"/>
  <c r="L16" i="8"/>
  <c r="L17" i="8"/>
  <c r="L18" i="8"/>
  <c r="L19" i="8"/>
  <c r="L20" i="8"/>
  <c r="L21" i="8"/>
  <c r="L22" i="8"/>
  <c r="L23" i="8"/>
  <c r="L27" i="8"/>
  <c r="L28" i="8"/>
  <c r="L30" i="8"/>
  <c r="G32" i="8"/>
  <c r="L32" i="8"/>
  <c r="L33" i="8"/>
  <c r="L34" i="8"/>
  <c r="L35" i="8"/>
  <c r="L36" i="8"/>
  <c r="L38" i="8"/>
  <c r="L39" i="8"/>
  <c r="L40" i="8"/>
  <c r="L41" i="8"/>
  <c r="F14" i="15"/>
  <c r="G67" i="8"/>
  <c r="G8" i="16"/>
  <c r="H53" i="16"/>
  <c r="L14" i="16"/>
  <c r="L15" i="16"/>
  <c r="L24" i="16" s="1"/>
  <c r="L16" i="16"/>
  <c r="L17" i="16"/>
  <c r="L18" i="16"/>
  <c r="L19" i="16"/>
  <c r="L20" i="16"/>
  <c r="L21" i="16"/>
  <c r="L22" i="16"/>
  <c r="L23" i="16"/>
  <c r="L27" i="16"/>
  <c r="L42" i="16" s="1"/>
  <c r="L28" i="16"/>
  <c r="L30" i="16"/>
  <c r="G32" i="16"/>
  <c r="L32" i="16"/>
  <c r="L33" i="16"/>
  <c r="L34" i="16"/>
  <c r="L35" i="16"/>
  <c r="L36" i="16"/>
  <c r="L38" i="16"/>
  <c r="L39" i="16"/>
  <c r="L40" i="16"/>
  <c r="L41" i="16"/>
  <c r="F15" i="15"/>
  <c r="G67" i="16"/>
  <c r="G8" i="22"/>
  <c r="H53" i="22" s="1"/>
  <c r="L14" i="22"/>
  <c r="L15" i="22"/>
  <c r="L16" i="22"/>
  <c r="L17" i="22"/>
  <c r="L18" i="22"/>
  <c r="L19" i="22"/>
  <c r="L20" i="22"/>
  <c r="L21" i="22"/>
  <c r="L22" i="22"/>
  <c r="L23" i="22"/>
  <c r="L27" i="22"/>
  <c r="L42" i="22" s="1"/>
  <c r="L28" i="22"/>
  <c r="L30" i="22"/>
  <c r="G32" i="22"/>
  <c r="L32" i="22"/>
  <c r="L33" i="22"/>
  <c r="L34" i="22"/>
  <c r="L35" i="22"/>
  <c r="L36" i="22"/>
  <c r="L38" i="22"/>
  <c r="L39" i="22"/>
  <c r="L40" i="22"/>
  <c r="L41" i="22"/>
  <c r="G61" i="22"/>
  <c r="F16" i="15"/>
  <c r="H53" i="10"/>
  <c r="L14" i="10"/>
  <c r="L24" i="10" s="1"/>
  <c r="L15" i="10"/>
  <c r="L16" i="10"/>
  <c r="L17" i="10"/>
  <c r="L18" i="10"/>
  <c r="L19" i="10"/>
  <c r="L20" i="10"/>
  <c r="L21" i="10"/>
  <c r="L22" i="10"/>
  <c r="L23" i="10"/>
  <c r="L27" i="10"/>
  <c r="L28" i="10"/>
  <c r="L30" i="10"/>
  <c r="L42" i="10" s="1"/>
  <c r="G32" i="10"/>
  <c r="L32" i="10"/>
  <c r="L33" i="10"/>
  <c r="L34" i="10"/>
  <c r="L35" i="10"/>
  <c r="L36" i="10"/>
  <c r="L38" i="10"/>
  <c r="L39" i="10"/>
  <c r="L40" i="10"/>
  <c r="L41" i="10"/>
  <c r="F18" i="15"/>
  <c r="G67" i="10"/>
  <c r="H53" i="11"/>
  <c r="L14" i="11"/>
  <c r="L15" i="11"/>
  <c r="L16" i="11"/>
  <c r="L17" i="11"/>
  <c r="L18" i="11"/>
  <c r="L19" i="11"/>
  <c r="L20" i="11"/>
  <c r="L21" i="11"/>
  <c r="L22" i="11"/>
  <c r="L23" i="11"/>
  <c r="L24" i="11"/>
  <c r="L27" i="11"/>
  <c r="L28" i="11"/>
  <c r="L42" i="11" s="1"/>
  <c r="L30" i="11"/>
  <c r="G32" i="11"/>
  <c r="L32" i="11"/>
  <c r="L33" i="11"/>
  <c r="L34" i="11"/>
  <c r="L35" i="11"/>
  <c r="L36" i="11"/>
  <c r="L38" i="11"/>
  <c r="L39" i="11"/>
  <c r="L40" i="11"/>
  <c r="L41" i="11"/>
  <c r="F19" i="15"/>
  <c r="G67" i="11"/>
  <c r="H53" i="12"/>
  <c r="L14" i="12"/>
  <c r="L15" i="12"/>
  <c r="L16" i="12"/>
  <c r="L17" i="12"/>
  <c r="L18" i="12"/>
  <c r="L24" i="12" s="1"/>
  <c r="L19" i="12"/>
  <c r="L20" i="12"/>
  <c r="L21" i="12"/>
  <c r="L22" i="12"/>
  <c r="L23" i="12"/>
  <c r="L27" i="12"/>
  <c r="L28" i="12"/>
  <c r="L30" i="12"/>
  <c r="G32" i="12"/>
  <c r="L32" i="12" s="1"/>
  <c r="L33" i="12"/>
  <c r="L34" i="12"/>
  <c r="L35" i="12"/>
  <c r="L36" i="12"/>
  <c r="L38" i="12"/>
  <c r="L39" i="12"/>
  <c r="L40" i="12"/>
  <c r="L41" i="12"/>
  <c r="F20" i="15"/>
  <c r="G67" i="12"/>
  <c r="L14" i="13"/>
  <c r="L15" i="13"/>
  <c r="L16" i="13"/>
  <c r="L17" i="13"/>
  <c r="L18" i="13"/>
  <c r="L19" i="13"/>
  <c r="L20" i="13"/>
  <c r="L21" i="13"/>
  <c r="L22" i="13"/>
  <c r="L23" i="13"/>
  <c r="L27" i="13"/>
  <c r="L28" i="13"/>
  <c r="L30" i="13"/>
  <c r="G32" i="13"/>
  <c r="L32" i="13" s="1"/>
  <c r="L33" i="13"/>
  <c r="L34" i="13"/>
  <c r="L35" i="13"/>
  <c r="L36" i="13"/>
  <c r="L38" i="13"/>
  <c r="L39" i="13"/>
  <c r="L40" i="13"/>
  <c r="L41" i="13"/>
  <c r="F21" i="15"/>
  <c r="G67" i="13"/>
  <c r="H53" i="14"/>
  <c r="L14" i="14"/>
  <c r="L15" i="14"/>
  <c r="L16" i="14"/>
  <c r="L17" i="14"/>
  <c r="L18" i="14"/>
  <c r="L19" i="14"/>
  <c r="L20" i="14"/>
  <c r="L21" i="14"/>
  <c r="L22" i="14"/>
  <c r="L23" i="14"/>
  <c r="L27" i="14"/>
  <c r="L28" i="14"/>
  <c r="L42" i="14" s="1"/>
  <c r="L30" i="14"/>
  <c r="G32" i="14"/>
  <c r="L32" i="14" s="1"/>
  <c r="L33" i="14"/>
  <c r="L34" i="14"/>
  <c r="L35" i="14"/>
  <c r="L36" i="14"/>
  <c r="L38" i="14"/>
  <c r="L39" i="14"/>
  <c r="L40" i="14"/>
  <c r="L41" i="14"/>
  <c r="F22" i="15"/>
  <c r="G67" i="14"/>
  <c r="H53" i="17"/>
  <c r="L14" i="17"/>
  <c r="L15" i="17"/>
  <c r="L16" i="17"/>
  <c r="L17" i="17"/>
  <c r="L24" i="17" s="1"/>
  <c r="L18" i="17"/>
  <c r="L19" i="17"/>
  <c r="L20" i="17"/>
  <c r="L21" i="17"/>
  <c r="L22" i="17"/>
  <c r="L23" i="17"/>
  <c r="L27" i="17"/>
  <c r="L28" i="17"/>
  <c r="L42" i="17" s="1"/>
  <c r="L30" i="17"/>
  <c r="G32" i="17"/>
  <c r="L32" i="17"/>
  <c r="L33" i="17"/>
  <c r="L34" i="17"/>
  <c r="L35" i="17"/>
  <c r="L36" i="17"/>
  <c r="L38" i="17"/>
  <c r="L39" i="17"/>
  <c r="L40" i="17"/>
  <c r="L41" i="17"/>
  <c r="F23" i="15"/>
  <c r="G67" i="17"/>
  <c r="H53" i="18"/>
  <c r="L14" i="18"/>
  <c r="L15" i="18"/>
  <c r="L24" i="18" s="1"/>
  <c r="L16" i="18"/>
  <c r="L17" i="18"/>
  <c r="L18" i="18"/>
  <c r="L19" i="18"/>
  <c r="L20" i="18"/>
  <c r="L21" i="18"/>
  <c r="L22" i="18"/>
  <c r="L23" i="18"/>
  <c r="L27" i="18"/>
  <c r="L28" i="18"/>
  <c r="L30" i="18"/>
  <c r="L42" i="18" s="1"/>
  <c r="G32" i="18"/>
  <c r="L32" i="18"/>
  <c r="L33" i="18"/>
  <c r="L34" i="18"/>
  <c r="L35" i="18"/>
  <c r="L36" i="18"/>
  <c r="L38" i="18"/>
  <c r="L39" i="18"/>
  <c r="L40" i="18"/>
  <c r="L41" i="18"/>
  <c r="F24" i="15"/>
  <c r="G67" i="18"/>
  <c r="H53" i="19"/>
  <c r="L14" i="19"/>
  <c r="L15" i="19"/>
  <c r="L16" i="19"/>
  <c r="L17" i="19"/>
  <c r="L18" i="19"/>
  <c r="L24" i="19" s="1"/>
  <c r="L44" i="19" s="1"/>
  <c r="D53" i="19" s="1"/>
  <c r="L19" i="19"/>
  <c r="L20" i="19"/>
  <c r="L21" i="19"/>
  <c r="L22" i="19"/>
  <c r="L23" i="19"/>
  <c r="L27" i="19"/>
  <c r="L28" i="19"/>
  <c r="L42" i="19" s="1"/>
  <c r="L30" i="19"/>
  <c r="G32" i="19"/>
  <c r="L32" i="19"/>
  <c r="L33" i="19"/>
  <c r="L34" i="19"/>
  <c r="L35" i="19"/>
  <c r="L36" i="19"/>
  <c r="L38" i="19"/>
  <c r="L39" i="19"/>
  <c r="L40" i="19"/>
  <c r="L41" i="19"/>
  <c r="F25" i="15"/>
  <c r="G67" i="19"/>
  <c r="H53" i="20"/>
  <c r="L14" i="20"/>
  <c r="L24" i="20" s="1"/>
  <c r="L15" i="20"/>
  <c r="L16" i="20"/>
  <c r="L17" i="20"/>
  <c r="L18" i="20"/>
  <c r="L19" i="20"/>
  <c r="L20" i="20"/>
  <c r="L21" i="20"/>
  <c r="L22" i="20"/>
  <c r="L23" i="20"/>
  <c r="L27" i="20"/>
  <c r="L28" i="20"/>
  <c r="L30" i="20"/>
  <c r="L42" i="20" s="1"/>
  <c r="G32" i="20"/>
  <c r="L32" i="20"/>
  <c r="L33" i="20"/>
  <c r="L34" i="20"/>
  <c r="L35" i="20"/>
  <c r="L36" i="20"/>
  <c r="L38" i="20"/>
  <c r="L39" i="20"/>
  <c r="L40" i="20"/>
  <c r="L41" i="20"/>
  <c r="F26" i="15"/>
  <c r="G67" i="20"/>
  <c r="H53" i="21"/>
  <c r="L14" i="21"/>
  <c r="L24" i="21" s="1"/>
  <c r="L15" i="21"/>
  <c r="L16" i="21"/>
  <c r="L17" i="21"/>
  <c r="L18" i="21"/>
  <c r="L19" i="21"/>
  <c r="L20" i="21"/>
  <c r="L21" i="21"/>
  <c r="L22" i="21"/>
  <c r="L23" i="21"/>
  <c r="L27" i="21"/>
  <c r="L28" i="21"/>
  <c r="L30" i="21"/>
  <c r="G32" i="21"/>
  <c r="L32" i="21" s="1"/>
  <c r="L33" i="21"/>
  <c r="L34" i="21"/>
  <c r="L35" i="21"/>
  <c r="L36" i="21"/>
  <c r="L38" i="21"/>
  <c r="L39" i="21"/>
  <c r="L40" i="21"/>
  <c r="L41" i="21"/>
  <c r="F27" i="15"/>
  <c r="G67" i="21"/>
  <c r="A1" i="1"/>
  <c r="B3" i="1"/>
  <c r="L31" i="1"/>
  <c r="A2" i="3"/>
  <c r="C5" i="3"/>
  <c r="K10" i="3"/>
  <c r="C2" i="9"/>
  <c r="L7" i="9"/>
  <c r="C2" i="4"/>
  <c r="L7" i="4"/>
  <c r="L7" i="23"/>
  <c r="C2" i="5"/>
  <c r="L7" i="5"/>
  <c r="C2" i="6"/>
  <c r="L7" i="6"/>
  <c r="C2" i="7"/>
  <c r="L7" i="7"/>
  <c r="C2" i="8"/>
  <c r="L7" i="8"/>
  <c r="L7" i="16"/>
  <c r="C2" i="22"/>
  <c r="L7" i="22"/>
  <c r="C2" i="10"/>
  <c r="L7" i="10"/>
  <c r="C2" i="11"/>
  <c r="L7" i="11"/>
  <c r="C2" i="12"/>
  <c r="L7" i="12"/>
  <c r="C2" i="13"/>
  <c r="L7" i="13"/>
  <c r="C2" i="14"/>
  <c r="L7" i="14"/>
  <c r="C2" i="17"/>
  <c r="L7" i="17"/>
  <c r="C2" i="18"/>
  <c r="L7" i="18"/>
  <c r="C2" i="19"/>
  <c r="L7" i="19"/>
  <c r="C2" i="20"/>
  <c r="L7" i="20"/>
  <c r="C2" i="21"/>
  <c r="L7" i="21"/>
  <c r="L24" i="14"/>
  <c r="G76" i="3"/>
  <c r="G62" i="3"/>
  <c r="L42" i="8"/>
  <c r="L24" i="22"/>
  <c r="L44" i="22" s="1"/>
  <c r="D53" i="22" s="1"/>
  <c r="L24" i="4"/>
  <c r="L24" i="13"/>
  <c r="L24" i="6"/>
  <c r="L44" i="6" s="1"/>
  <c r="D53" i="6" s="1"/>
  <c r="L24" i="23"/>
  <c r="L44" i="23" s="1"/>
  <c r="D53" i="23" s="1"/>
  <c r="L19" i="1"/>
  <c r="A11" i="2"/>
  <c r="A64" i="1"/>
  <c r="G67" i="7"/>
  <c r="G67" i="5"/>
  <c r="L24" i="5"/>
  <c r="A14" i="2"/>
  <c r="A67" i="1" s="1"/>
  <c r="L42" i="4" l="1"/>
  <c r="K54" i="3"/>
  <c r="D62" i="3" s="1"/>
  <c r="L66" i="1"/>
  <c r="L61" i="1"/>
  <c r="L42" i="13"/>
  <c r="L44" i="4"/>
  <c r="D53" i="4" s="1"/>
  <c r="L44" i="20"/>
  <c r="D53" i="20" s="1"/>
  <c r="L44" i="11"/>
  <c r="D53" i="11" s="1"/>
  <c r="L44" i="10"/>
  <c r="D53" i="10" s="1"/>
  <c r="L44" i="13"/>
  <c r="D53" i="13" s="1"/>
  <c r="L44" i="18"/>
  <c r="D53" i="18" s="1"/>
  <c r="L44" i="17"/>
  <c r="D53" i="17" s="1"/>
  <c r="L44" i="16"/>
  <c r="D53" i="16" s="1"/>
  <c r="L42" i="12"/>
  <c r="L44" i="12" s="1"/>
  <c r="D53" i="12" s="1"/>
  <c r="L42" i="21"/>
  <c r="L44" i="21" s="1"/>
  <c r="D53" i="21" s="1"/>
  <c r="L44" i="14"/>
  <c r="D53" i="14" s="1"/>
  <c r="G67" i="22"/>
  <c r="A15" i="2"/>
  <c r="A68" i="1" s="1"/>
  <c r="A12" i="2"/>
  <c r="A65" i="1" s="1"/>
  <c r="L50" i="12" l="1"/>
  <c r="D52" i="12" s="1"/>
  <c r="D54" i="12" s="1"/>
  <c r="L52" i="12" s="1"/>
  <c r="L50" i="22"/>
  <c r="D52" i="22" s="1"/>
  <c r="D54" i="22" s="1"/>
  <c r="L52" i="22" s="1"/>
  <c r="L50" i="21"/>
  <c r="D52" i="21" s="1"/>
  <c r="D54" i="21" s="1"/>
  <c r="L52" i="21" s="1"/>
  <c r="L50" i="16"/>
  <c r="D52" i="16" s="1"/>
  <c r="D54" i="16" s="1"/>
  <c r="L52" i="16" s="1"/>
  <c r="K59" i="3"/>
  <c r="D61" i="3" s="1"/>
  <c r="D63" i="3" s="1"/>
  <c r="K61" i="3" s="1"/>
  <c r="L50" i="6"/>
  <c r="D52" i="6" s="1"/>
  <c r="D54" i="6" s="1"/>
  <c r="L52" i="6" s="1"/>
  <c r="L50" i="23"/>
  <c r="D52" i="23" s="1"/>
  <c r="D54" i="23" s="1"/>
  <c r="L52" i="23" s="1"/>
  <c r="L50" i="20"/>
  <c r="D52" i="20" s="1"/>
  <c r="D54" i="20" s="1"/>
  <c r="L52" i="20" s="1"/>
  <c r="L50" i="18"/>
  <c r="D52" i="18" s="1"/>
  <c r="D54" i="18" s="1"/>
  <c r="L52" i="18" s="1"/>
  <c r="L50" i="10"/>
  <c r="D52" i="10" s="1"/>
  <c r="D54" i="10" s="1"/>
  <c r="L52" i="10" s="1"/>
  <c r="L50" i="5"/>
  <c r="D52" i="5" s="1"/>
  <c r="D54" i="5" s="1"/>
  <c r="L52" i="5" s="1"/>
  <c r="L50" i="14"/>
  <c r="D52" i="14" s="1"/>
  <c r="D54" i="14" s="1"/>
  <c r="L52" i="14" s="1"/>
  <c r="L50" i="11"/>
  <c r="D52" i="11" s="1"/>
  <c r="D54" i="11" s="1"/>
  <c r="L52" i="11" s="1"/>
  <c r="L50" i="17"/>
  <c r="D52" i="17" s="1"/>
  <c r="D54" i="17" s="1"/>
  <c r="L52" i="17" s="1"/>
  <c r="L50" i="8"/>
  <c r="D52" i="8" s="1"/>
  <c r="D54" i="8" s="1"/>
  <c r="L52" i="8" s="1"/>
  <c r="L50" i="19"/>
  <c r="D52" i="19" s="1"/>
  <c r="D54" i="19" s="1"/>
  <c r="L52" i="19" s="1"/>
  <c r="L50" i="4"/>
  <c r="D52" i="4" s="1"/>
  <c r="D54" i="4" s="1"/>
  <c r="L52" i="4" s="1"/>
  <c r="L50" i="9"/>
  <c r="D52" i="9" s="1"/>
  <c r="D54" i="9" s="1"/>
  <c r="L52" i="9" s="1"/>
  <c r="L50" i="13"/>
  <c r="D52" i="13" s="1"/>
  <c r="D54" i="13" s="1"/>
  <c r="L52" i="13" s="1"/>
  <c r="L50" i="7"/>
  <c r="D52" i="7" s="1"/>
  <c r="D54" i="7" s="1"/>
  <c r="L52" i="7" s="1"/>
  <c r="L59" i="10" l="1"/>
  <c r="L53" i="10"/>
  <c r="L54" i="10" s="1"/>
  <c r="L59" i="20"/>
  <c r="L53" i="20"/>
  <c r="L54" i="20"/>
  <c r="L59" i="13"/>
  <c r="L53" i="13"/>
  <c r="L54" i="13"/>
  <c r="L59" i="23"/>
  <c r="L53" i="23"/>
  <c r="L54" i="23" s="1"/>
  <c r="L59" i="9"/>
  <c r="L53" i="9"/>
  <c r="L54" i="9" s="1"/>
  <c r="L53" i="6"/>
  <c r="L54" i="6" s="1"/>
  <c r="L59" i="6"/>
  <c r="L53" i="4"/>
  <c r="L54" i="4"/>
  <c r="L59" i="4"/>
  <c r="K62" i="3"/>
  <c r="K63" i="3"/>
  <c r="K68" i="3"/>
  <c r="L53" i="19"/>
  <c r="L54" i="19"/>
  <c r="L59" i="19"/>
  <c r="L53" i="16"/>
  <c r="L54" i="16" s="1"/>
  <c r="L59" i="16"/>
  <c r="L53" i="7"/>
  <c r="L54" i="7"/>
  <c r="L59" i="7"/>
  <c r="L59" i="21"/>
  <c r="L53" i="21"/>
  <c r="L54" i="21"/>
  <c r="L53" i="18"/>
  <c r="L54" i="18"/>
  <c r="L59" i="18"/>
  <c r="L59" i="8"/>
  <c r="L53" i="8"/>
  <c r="L54" i="8"/>
  <c r="L59" i="17"/>
  <c r="L53" i="17"/>
  <c r="L54" i="17" s="1"/>
  <c r="L53" i="22"/>
  <c r="L54" i="22" s="1"/>
  <c r="L59" i="22"/>
  <c r="L59" i="5"/>
  <c r="L53" i="5"/>
  <c r="L54" i="5" s="1"/>
  <c r="L59" i="11"/>
  <c r="L53" i="11"/>
  <c r="L54" i="11"/>
  <c r="L59" i="12"/>
  <c r="L53" i="12"/>
  <c r="L54" i="12"/>
  <c r="L53" i="14"/>
  <c r="L54" i="14" s="1"/>
  <c r="L59" i="14"/>
  <c r="L62" i="14" l="1"/>
  <c r="C22" i="15"/>
  <c r="L62" i="22"/>
  <c r="C16" i="15"/>
  <c r="K71" i="3"/>
  <c r="C7" i="15"/>
  <c r="L62" i="4"/>
  <c r="C8" i="15"/>
  <c r="C23" i="15"/>
  <c r="L62" i="17"/>
  <c r="C15" i="15"/>
  <c r="L62" i="16"/>
  <c r="C12" i="15"/>
  <c r="L62" i="6"/>
  <c r="L62" i="23"/>
  <c r="C10" i="15"/>
  <c r="L62" i="20"/>
  <c r="C26" i="15"/>
  <c r="L62" i="11"/>
  <c r="C19" i="15"/>
  <c r="L62" i="18"/>
  <c r="C24" i="15"/>
  <c r="C25" i="15"/>
  <c r="L62" i="19"/>
  <c r="C13" i="15"/>
  <c r="L62" i="7"/>
  <c r="C20" i="15"/>
  <c r="L62" i="12"/>
  <c r="L62" i="8"/>
  <c r="C14" i="15"/>
  <c r="C27" i="15"/>
  <c r="L62" i="21"/>
  <c r="L62" i="13"/>
  <c r="C21" i="15"/>
  <c r="L62" i="9"/>
  <c r="C9" i="15"/>
  <c r="C11" i="15"/>
  <c r="L62" i="5"/>
  <c r="L62" i="10"/>
  <c r="C18" i="15"/>
  <c r="G62" i="16" l="1"/>
  <c r="K15" i="15" s="1"/>
  <c r="G66" i="16"/>
  <c r="G66" i="17"/>
  <c r="G62" i="17"/>
  <c r="K23" i="15" s="1"/>
  <c r="G62" i="4"/>
  <c r="K8" i="15" s="1"/>
  <c r="G66" i="4"/>
  <c r="G62" i="22"/>
  <c r="K16" i="15" s="1"/>
  <c r="G66" i="22"/>
  <c r="G66" i="9"/>
  <c r="G62" i="9"/>
  <c r="K9" i="15" s="1"/>
  <c r="G66" i="13"/>
  <c r="G62" i="13"/>
  <c r="K21" i="15" s="1"/>
  <c r="G62" i="11"/>
  <c r="K19" i="15" s="1"/>
  <c r="G66" i="11"/>
  <c r="G75" i="3"/>
  <c r="G71" i="3"/>
  <c r="K7" i="15" s="1"/>
  <c r="G62" i="12"/>
  <c r="K20" i="15" s="1"/>
  <c r="G66" i="12"/>
  <c r="G66" i="10"/>
  <c r="G62" i="10"/>
  <c r="K18" i="15" s="1"/>
  <c r="G66" i="5"/>
  <c r="G62" i="5"/>
  <c r="K11" i="15" s="1"/>
  <c r="G62" i="6"/>
  <c r="K12" i="15" s="1"/>
  <c r="G66" i="6"/>
  <c r="G66" i="19"/>
  <c r="G62" i="19"/>
  <c r="K25" i="15" s="1"/>
  <c r="G62" i="18"/>
  <c r="K24" i="15" s="1"/>
  <c r="G66" i="18"/>
  <c r="G66" i="21"/>
  <c r="G62" i="21"/>
  <c r="K27" i="15" s="1"/>
  <c r="G62" i="8"/>
  <c r="K14" i="15" s="1"/>
  <c r="G66" i="8"/>
  <c r="G66" i="20"/>
  <c r="G62" i="20"/>
  <c r="K26" i="15" s="1"/>
  <c r="G62" i="23"/>
  <c r="K10" i="15" s="1"/>
  <c r="G66" i="23"/>
  <c r="G62" i="7"/>
  <c r="K13" i="15" s="1"/>
  <c r="G66" i="7"/>
  <c r="G66" i="14"/>
  <c r="G62" i="14"/>
  <c r="K22" i="15" s="1"/>
  <c r="G69" i="23" l="1"/>
  <c r="M10" i="15" s="1"/>
  <c r="H10" i="15"/>
  <c r="G69" i="13"/>
  <c r="M21" i="15" s="1"/>
  <c r="H21" i="15"/>
  <c r="H11" i="15"/>
  <c r="G69" i="5"/>
  <c r="M11" i="15" s="1"/>
  <c r="H9" i="15"/>
  <c r="G69" i="9"/>
  <c r="M9" i="15" s="1"/>
  <c r="H14" i="15"/>
  <c r="G69" i="8"/>
  <c r="M14" i="15" s="1"/>
  <c r="H16" i="15"/>
  <c r="G69" i="22"/>
  <c r="M16" i="15" s="1"/>
  <c r="G69" i="10"/>
  <c r="M18" i="15" s="1"/>
  <c r="H18" i="15"/>
  <c r="G69" i="12"/>
  <c r="M20" i="15" s="1"/>
  <c r="H20" i="15"/>
  <c r="H27" i="15"/>
  <c r="G69" i="21"/>
  <c r="M27" i="15" s="1"/>
  <c r="H26" i="15"/>
  <c r="G69" i="20"/>
  <c r="M26" i="15" s="1"/>
  <c r="H7" i="15"/>
  <c r="G78" i="3"/>
  <c r="M7" i="15" s="1"/>
  <c r="G69" i="17"/>
  <c r="M23" i="15" s="1"/>
  <c r="H23" i="15"/>
  <c r="H12" i="15"/>
  <c r="G69" i="6"/>
  <c r="M12" i="15" s="1"/>
  <c r="H8" i="15"/>
  <c r="G69" i="4"/>
  <c r="M8" i="15" s="1"/>
  <c r="H24" i="15"/>
  <c r="G69" i="18"/>
  <c r="M24" i="15" s="1"/>
  <c r="G69" i="14"/>
  <c r="M22" i="15" s="1"/>
  <c r="H22" i="15"/>
  <c r="G69" i="7"/>
  <c r="M13" i="15" s="1"/>
  <c r="H13" i="15"/>
  <c r="G69" i="11"/>
  <c r="M19" i="15" s="1"/>
  <c r="H19" i="15"/>
  <c r="G69" i="16"/>
  <c r="M15" i="15" s="1"/>
  <c r="H15" i="15"/>
  <c r="G69" i="19"/>
  <c r="M25" i="15" s="1"/>
  <c r="H25" i="15"/>
  <c r="M29" i="15" l="1"/>
</calcChain>
</file>

<file path=xl/sharedStrings.xml><?xml version="1.0" encoding="utf-8"?>
<sst xmlns="http://schemas.openxmlformats.org/spreadsheetml/2006/main" count="1995" uniqueCount="191">
  <si>
    <t>Store Certifications</t>
  </si>
  <si>
    <t>Last Year</t>
  </si>
  <si>
    <t>Current YTD</t>
  </si>
  <si>
    <t>Certification Year</t>
  </si>
  <si>
    <t>Open Water</t>
  </si>
  <si>
    <t>Rescue</t>
  </si>
  <si>
    <t>Specialties</t>
  </si>
  <si>
    <t>Divemaster</t>
  </si>
  <si>
    <t>Assistant Instructor</t>
  </si>
  <si>
    <t>Certification Level:</t>
  </si>
  <si>
    <t>no</t>
  </si>
  <si>
    <t>Advanced</t>
  </si>
  <si>
    <t>Adventure Diver</t>
  </si>
  <si>
    <t>OWSI</t>
  </si>
  <si>
    <t>G</t>
  </si>
  <si>
    <t xml:space="preserve">Actual/Current Course Price </t>
  </si>
  <si>
    <t>Desired Profit Margin</t>
  </si>
  <si>
    <t>Cost to certify the Student=</t>
  </si>
  <si>
    <t>Actual profit per Student=</t>
  </si>
  <si>
    <t>Service</t>
  </si>
  <si>
    <t>Travel</t>
  </si>
  <si>
    <t>Rental</t>
  </si>
  <si>
    <t xml:space="preserve">A. Pool Cost per hr. </t>
  </si>
  <si>
    <t>B. Pool Cost per session</t>
  </si>
  <si>
    <t xml:space="preserve"># hours </t>
  </si>
  <si>
    <t># sessions</t>
  </si>
  <si>
    <t>C. Cost per head</t>
  </si>
  <si>
    <t>Fee for pool facilities  (choose either option A,B or C)</t>
  </si>
  <si>
    <t>Percentage of Revenue by Category</t>
  </si>
  <si>
    <t>Equipment Sales</t>
  </si>
  <si>
    <t>Training &amp; Education</t>
  </si>
  <si>
    <t xml:space="preserve">PADI Seal Team </t>
  </si>
  <si>
    <t>Mannequins</t>
  </si>
  <si>
    <t>(If yes, return to Data Page and enter number)</t>
  </si>
  <si>
    <t>Dry Suit</t>
  </si>
  <si>
    <t>(includes materials)</t>
  </si>
  <si>
    <t>Enter Variable Expenses for each Course Offered</t>
  </si>
  <si>
    <t>enter Store Figures</t>
  </si>
  <si>
    <t>Total fixed expenses allocated to Training divided by student =</t>
  </si>
  <si>
    <t>Fixed Expenses</t>
  </si>
  <si>
    <t>Total yearly fixed expenses =</t>
  </si>
  <si>
    <t>Total monthly fixed expenses=</t>
  </si>
  <si>
    <t>Total Fixed Expenses =</t>
  </si>
  <si>
    <t>Total Variable Expenses =</t>
  </si>
  <si>
    <t>Total Variable Expenses=</t>
  </si>
  <si>
    <t>ACCOUNTS FOR FIXED &amp; VARIABLE EXPENSES</t>
  </si>
  <si>
    <t>(If yes, return to Data Entry and enter projected student number in certification field)</t>
  </si>
  <si>
    <t>Birthday Cake</t>
  </si>
  <si>
    <t>Soda Pop</t>
  </si>
  <si>
    <t>Party Items</t>
  </si>
  <si>
    <t>Instructor wages per participant</t>
  </si>
  <si>
    <t>Store Name:</t>
  </si>
  <si>
    <t>Total Students per year:</t>
  </si>
  <si>
    <t>(last Year)</t>
  </si>
  <si>
    <t>A</t>
  </si>
  <si>
    <t>Expenses</t>
  </si>
  <si>
    <t>Cost</t>
  </si>
  <si>
    <t>Store Liability insurance</t>
  </si>
  <si>
    <t xml:space="preserve">Advertising and Marketing </t>
  </si>
  <si>
    <t>Instructor materials</t>
  </si>
  <si>
    <t>Other</t>
  </si>
  <si>
    <t>B</t>
  </si>
  <si>
    <t>Sub-total</t>
  </si>
  <si>
    <t>Life</t>
  </si>
  <si>
    <t xml:space="preserve">Instructional equipment </t>
  </si>
  <si>
    <t xml:space="preserve">Cost divided by </t>
  </si>
  <si>
    <t>Emergency and Safety equipment</t>
  </si>
  <si>
    <t>Compressor Fixture</t>
  </si>
  <si>
    <t>Sub-Total</t>
  </si>
  <si>
    <t>C</t>
  </si>
  <si>
    <t xml:space="preserve">Approximate program size &amp; average </t>
  </si>
  <si>
    <t>Students per year this level:</t>
  </si>
  <si>
    <t>Average Class size:</t>
  </si>
  <si>
    <t>D</t>
  </si>
  <si>
    <t>Determine short-term expenses per student in class</t>
  </si>
  <si>
    <t>PADI Student Diver Materials</t>
  </si>
  <si>
    <t>Cost per student in class</t>
  </si>
  <si>
    <t>Certificate/Diploma</t>
  </si>
  <si>
    <t>Emblem</t>
  </si>
  <si>
    <t>PIC</t>
  </si>
  <si>
    <t>Incidentals (Folders, Form, etc)</t>
  </si>
  <si>
    <t>Boat Fees</t>
  </si>
  <si>
    <t>Dive Site Entrance Fees</t>
  </si>
  <si>
    <t xml:space="preserve"> Total</t>
  </si>
  <si>
    <t xml:space="preserve">Fee for classroom facilities </t>
  </si>
  <si>
    <t>Cost divided by # of students in class</t>
  </si>
  <si>
    <t xml:space="preserve">Fee for pool facilities </t>
  </si>
  <si>
    <t>Air fills for pool and Open Water</t>
  </si>
  <si>
    <t>#fills per diver</t>
  </si>
  <si>
    <t>Cost X # of required refills</t>
  </si>
  <si>
    <t>Class&amp;Pool</t>
  </si>
  <si>
    <t>TD's</t>
  </si>
  <si>
    <t>(enter pay)</t>
  </si>
  <si>
    <t>Assistants wages per Course</t>
  </si>
  <si>
    <t xml:space="preserve">Dive Ctr. vehicle; depreciation after one year  </t>
  </si>
  <si>
    <t>Vehicle insurance</t>
  </si>
  <si>
    <t>Fuel used for course work</t>
  </si>
  <si>
    <t>Course Specific equipment</t>
  </si>
  <si>
    <t xml:space="preserve">Life (years) </t>
  </si>
  <si>
    <t>E</t>
  </si>
  <si>
    <t>F</t>
  </si>
  <si>
    <t>Determine total cost of course per student</t>
  </si>
  <si>
    <t>Cost to certify the Student =</t>
  </si>
  <si>
    <t>% of  total Certifications</t>
  </si>
  <si>
    <t>Desired Profit per student =</t>
  </si>
  <si>
    <t>TOTAL COURSE PRICE =</t>
  </si>
  <si>
    <r>
      <t>Is this a new program?</t>
    </r>
    <r>
      <rPr>
        <sz val="8"/>
        <rFont val="Arial"/>
        <family val="2"/>
      </rPr>
      <t>(Yes or No)</t>
    </r>
  </si>
  <si>
    <t>Store Name</t>
  </si>
  <si>
    <t>Certification Level</t>
  </si>
  <si>
    <t>Instructor wages per participants</t>
  </si>
  <si>
    <t xml:space="preserve">Actual Price by participant= </t>
  </si>
  <si>
    <t>Actual Party Price=</t>
  </si>
  <si>
    <t>Certification Numbers based on last full year</t>
  </si>
  <si>
    <t>(Enter Store Name &amp; Approximate $ per Category)</t>
  </si>
  <si>
    <t>Determine variable expenses per student in class</t>
  </si>
  <si>
    <t>Employee Taxes &amp; Benefits</t>
  </si>
  <si>
    <t xml:space="preserve">Enter Fixed Expenses on next worksheet </t>
  </si>
  <si>
    <t xml:space="preserve">PADI Power Partnership Program - III Total Course Profit </t>
  </si>
  <si>
    <t>PADI Power Partnership Program - II Fixed Store Expenses</t>
  </si>
  <si>
    <t>PADI Power Partnership Program - I Data Entry</t>
  </si>
  <si>
    <t>PADI Power Partnership Program - IV Course Specific Worksheets</t>
  </si>
  <si>
    <t>Dive Center Fees/Renewals</t>
  </si>
  <si>
    <t>EFR</t>
  </si>
  <si>
    <t>Emergency First Response</t>
  </si>
  <si>
    <t>PADI Seal Team</t>
  </si>
  <si>
    <t>Employee Payroll</t>
  </si>
  <si>
    <t>Utilities</t>
  </si>
  <si>
    <t>Phone</t>
  </si>
  <si>
    <t>Internet</t>
  </si>
  <si>
    <t>Electricity</t>
  </si>
  <si>
    <t>Gas</t>
  </si>
  <si>
    <t xml:space="preserve">Pool </t>
  </si>
  <si>
    <t>Chemicals</t>
  </si>
  <si>
    <t>Maintenance</t>
  </si>
  <si>
    <t>Monthly Fixed Expenses.</t>
  </si>
  <si>
    <t>Company Vehicle</t>
  </si>
  <si>
    <t>Payment</t>
  </si>
  <si>
    <t>Rent or Mortage</t>
  </si>
  <si>
    <t>Boat Insurance</t>
  </si>
  <si>
    <t>Office Supplies</t>
  </si>
  <si>
    <t>Yearly Cost</t>
  </si>
  <si>
    <t>Fixed expenses lasting several years.</t>
  </si>
  <si>
    <t>years, total yearly cost</t>
  </si>
  <si>
    <t>Expense allocated to Training &amp; Education</t>
  </si>
  <si>
    <t>Office Equipment</t>
  </si>
  <si>
    <t xml:space="preserve">Annual fixed expenses </t>
  </si>
  <si>
    <t>(computer, LCD projector, TV)</t>
  </si>
  <si>
    <t>(Newsletter, Radio,TV, Yellow Pages, Trade Shows, Print Ads)</t>
  </si>
  <si>
    <t>Compressor Maintenance</t>
  </si>
  <si>
    <t>Rental Equipment Maintenance</t>
  </si>
  <si>
    <t xml:space="preserve">Rental equipment </t>
  </si>
  <si>
    <t>Insurance</t>
  </si>
  <si>
    <t>Step 1:</t>
  </si>
  <si>
    <t>Step 3:</t>
  </si>
  <si>
    <t>Step 2:</t>
  </si>
  <si>
    <t>Boat Maintenance</t>
  </si>
  <si>
    <t>(Full &amp; Part Time, Divemasters, Boat Personel)</t>
  </si>
  <si>
    <t>H</t>
  </si>
  <si>
    <t>Annual Course Profit/Loss</t>
  </si>
  <si>
    <t>Number of Students=</t>
  </si>
  <si>
    <t>Profit/Loss Per year=</t>
  </si>
  <si>
    <t>% total Certifications</t>
  </si>
  <si>
    <t>Actual Profit Margin=</t>
  </si>
  <si>
    <t>I</t>
  </si>
  <si>
    <t>J</t>
  </si>
  <si>
    <t xml:space="preserve">Actual Course Price= </t>
  </si>
  <si>
    <t>Actual Course Price</t>
  </si>
  <si>
    <t>Totals</t>
  </si>
  <si>
    <t>Profit Margin</t>
  </si>
  <si>
    <t>Profit/Loss Per Student</t>
  </si>
  <si>
    <t>Yearly Profit</t>
  </si>
  <si>
    <t>Actual Course Cost</t>
  </si>
  <si>
    <t>Bubblemaker</t>
  </si>
  <si>
    <t xml:space="preserve"> </t>
  </si>
  <si>
    <t>Specialty 1</t>
  </si>
  <si>
    <t>Specialty 2</t>
  </si>
  <si>
    <t>Specialty 3</t>
  </si>
  <si>
    <t>Specialty 4</t>
  </si>
  <si>
    <t>Specialty 5</t>
  </si>
  <si>
    <t>Specialty 6</t>
  </si>
  <si>
    <t>Specialty 7</t>
  </si>
  <si>
    <t>Specialty 8</t>
  </si>
  <si>
    <t>Specialty 9</t>
  </si>
  <si>
    <t>Specialty 10</t>
  </si>
  <si>
    <t>DO NOT REFLECT EQUIPMENT SALES</t>
  </si>
  <si>
    <t xml:space="preserve">Step 4: </t>
  </si>
  <si>
    <t>(click appropriate tab)</t>
  </si>
  <si>
    <t>Enter Course Name</t>
  </si>
  <si>
    <t>(enter certification numbers)</t>
  </si>
  <si>
    <t>Total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</si>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</sst>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82" formatCode="_(&quot;$&quot;* #,##0_);_(&quot;$&quot;* \(#,##0\);_(&quot;$&quot;* &quot;-&quot;??_);_(@_)"/>
    <numFmt numFmtId="188" formatCode="_(&quot;$&quot;* #,##0.0000_);_(&quot;$&quot;* \(#,##0.0000\);_(&quot;$&quot;* &quot;-&quot;??_);_(@_)"/>
  </numFmts>
  <fonts count="24" x14ac:knownFonts="1">
    <font>
      <sz val="10"/>
      <name val="Arial"/>
    </font>
    <font>
      <sz val="10"/>
      <name val="Arial"/>
    </font>
    <font>
      <u/>
      <sz val="10"/>
      <color indexed="12"/>
      <name val="Arial"/>
    </font>
    <font>
      <b/>
      <sz val="10"/>
      <name val="Arial"/>
      <family val="2"/>
    </font>
    <font>
      <b/>
      <u/>
      <sz val="16"/>
      <name val="Arial"/>
      <family val="2"/>
    </font>
    <font>
      <sz val="10"/>
      <color indexed="48"/>
      <name val="Arial"/>
      <family val="2"/>
    </font>
    <font>
      <b/>
      <sz val="10"/>
      <color indexed="48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b/>
      <i/>
      <u/>
      <sz val="10"/>
      <name val="Arial"/>
      <family val="2"/>
    </font>
    <font>
      <b/>
      <u val="singleAccounting"/>
      <sz val="10"/>
      <name val="Arial"/>
      <family val="2"/>
    </font>
    <font>
      <b/>
      <sz val="10"/>
      <color indexed="10"/>
      <name val="Arial"/>
      <family val="2"/>
    </font>
    <font>
      <b/>
      <i/>
      <sz val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u/>
      <sz val="14"/>
      <name val="Arial"/>
      <family val="2"/>
    </font>
    <font>
      <u/>
      <sz val="14"/>
      <name val="Arial"/>
      <family val="2"/>
    </font>
    <font>
      <b/>
      <i/>
      <sz val="14"/>
      <name val="Arial"/>
      <family val="2"/>
    </font>
    <font>
      <u/>
      <sz val="14"/>
      <color indexed="12"/>
      <name val="Arial"/>
      <family val="2"/>
    </font>
    <font>
      <b/>
      <sz val="14"/>
      <color indexed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173">
    <xf numFmtId="0" fontId="0" fillId="0" borderId="0" xfId="0"/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0" fillId="2" borderId="0" xfId="0" applyFill="1"/>
    <xf numFmtId="0" fontId="5" fillId="0" borderId="0" xfId="0" applyFont="1"/>
    <xf numFmtId="0" fontId="3" fillId="0" borderId="0" xfId="0" applyFont="1" applyAlignment="1">
      <alignment horizontal="right"/>
    </xf>
    <xf numFmtId="0" fontId="0" fillId="2" borderId="0" xfId="0" applyFill="1" applyAlignment="1" applyProtection="1">
      <alignment horizontal="center"/>
      <protection locked="0"/>
    </xf>
    <xf numFmtId="0" fontId="2" fillId="3" borderId="0" xfId="2" applyFill="1" applyAlignment="1" applyProtection="1"/>
    <xf numFmtId="0" fontId="6" fillId="0" borderId="0" xfId="0" applyFont="1"/>
    <xf numFmtId="0" fontId="5" fillId="0" borderId="0" xfId="0" applyFont="1" applyAlignment="1">
      <alignment horizontal="right"/>
    </xf>
    <xf numFmtId="0" fontId="0" fillId="0" borderId="0" xfId="0" applyFill="1"/>
    <xf numFmtId="0" fontId="3" fillId="0" borderId="0" xfId="0" applyFont="1"/>
    <xf numFmtId="182" fontId="1" fillId="4" borderId="0" xfId="1" applyNumberFormat="1" applyFill="1" applyAlignment="1" applyProtection="1">
      <alignment horizontal="right"/>
      <protection locked="0"/>
    </xf>
    <xf numFmtId="0" fontId="0" fillId="4" borderId="0" xfId="0" applyFill="1" applyProtection="1">
      <protection locked="0"/>
    </xf>
    <xf numFmtId="0" fontId="0" fillId="0" borderId="0" xfId="0" applyFill="1" applyProtection="1">
      <protection locked="0"/>
    </xf>
    <xf numFmtId="182" fontId="1" fillId="0" borderId="0" xfId="1" applyNumberFormat="1" applyFill="1" applyAlignment="1" applyProtection="1">
      <alignment horizontal="right"/>
      <protection locked="0"/>
    </xf>
    <xf numFmtId="182" fontId="1" fillId="0" borderId="0" xfId="1" applyNumberFormat="1" applyFill="1" applyAlignment="1">
      <alignment horizontal="right"/>
    </xf>
    <xf numFmtId="44" fontId="1" fillId="0" borderId="0" xfId="1" applyNumberFormat="1" applyFill="1"/>
    <xf numFmtId="0" fontId="7" fillId="0" borderId="0" xfId="0" applyFont="1"/>
    <xf numFmtId="0" fontId="0" fillId="4" borderId="0" xfId="0" applyFill="1" applyAlignment="1">
      <alignment horizontal="center"/>
    </xf>
    <xf numFmtId="182" fontId="1" fillId="4" borderId="0" xfId="1" applyNumberFormat="1" applyFill="1" applyAlignment="1">
      <alignment horizontal="right"/>
    </xf>
    <xf numFmtId="0" fontId="0" fillId="4" borderId="0" xfId="0" applyFill="1"/>
    <xf numFmtId="44" fontId="3" fillId="2" borderId="0" xfId="1" applyNumberFormat="1" applyFont="1" applyFill="1"/>
    <xf numFmtId="44" fontId="3" fillId="0" borderId="0" xfId="1" applyNumberFormat="1" applyFont="1" applyFill="1"/>
    <xf numFmtId="0" fontId="6" fillId="0" borderId="0" xfId="0" applyFont="1" applyAlignment="1">
      <alignment horizontal="right"/>
    </xf>
    <xf numFmtId="0" fontId="9" fillId="0" borderId="0" xfId="0" applyFont="1"/>
    <xf numFmtId="0" fontId="6" fillId="4" borderId="0" xfId="0" applyFont="1" applyFill="1" applyAlignment="1">
      <alignment horizontal="center"/>
    </xf>
    <xf numFmtId="0" fontId="9" fillId="0" borderId="0" xfId="0" applyFont="1" applyAlignment="1">
      <alignment horizontal="left"/>
    </xf>
    <xf numFmtId="0" fontId="0" fillId="4" borderId="0" xfId="0" applyFill="1" applyAlignment="1" applyProtection="1">
      <alignment horizontal="center"/>
      <protection locked="0"/>
    </xf>
    <xf numFmtId="0" fontId="0" fillId="0" borderId="0" xfId="0" applyFill="1" applyAlignment="1" applyProtection="1">
      <alignment horizontal="center"/>
      <protection locked="0"/>
    </xf>
    <xf numFmtId="44" fontId="1" fillId="4" borderId="0" xfId="1" applyFill="1" applyAlignment="1" applyProtection="1">
      <alignment horizontal="right"/>
      <protection locked="0"/>
    </xf>
    <xf numFmtId="44" fontId="1" fillId="2" borderId="0" xfId="1" applyFill="1"/>
    <xf numFmtId="188" fontId="1" fillId="4" borderId="0" xfId="1" applyNumberFormat="1" applyFill="1" applyAlignment="1" applyProtection="1">
      <alignment horizontal="right"/>
      <protection locked="0"/>
    </xf>
    <xf numFmtId="44" fontId="3" fillId="2" borderId="0" xfId="1" applyFont="1" applyFill="1"/>
    <xf numFmtId="0" fontId="10" fillId="0" borderId="0" xfId="0" applyFont="1" applyFill="1"/>
    <xf numFmtId="0" fontId="10" fillId="0" borderId="0" xfId="0" applyFont="1" applyFill="1" applyAlignment="1">
      <alignment horizontal="right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44" fontId="1" fillId="0" borderId="0" xfId="1" applyFill="1" applyAlignment="1" applyProtection="1">
      <alignment horizontal="right"/>
      <protection locked="0"/>
    </xf>
    <xf numFmtId="44" fontId="1" fillId="0" borderId="0" xfId="1" applyFill="1"/>
    <xf numFmtId="44" fontId="1" fillId="2" borderId="0" xfId="1" applyNumberFormat="1" applyFill="1" applyAlignment="1">
      <alignment horizontal="right"/>
    </xf>
    <xf numFmtId="44" fontId="1" fillId="2" borderId="0" xfId="1" applyFill="1" applyAlignment="1"/>
    <xf numFmtId="44" fontId="1" fillId="4" borderId="0" xfId="1" applyNumberFormat="1" applyFill="1"/>
    <xf numFmtId="44" fontId="1" fillId="0" borderId="0" xfId="1"/>
    <xf numFmtId="0" fontId="6" fillId="0" borderId="0" xfId="0" applyFont="1" applyFill="1" applyProtection="1">
      <protection locked="0"/>
    </xf>
    <xf numFmtId="9" fontId="0" fillId="4" borderId="0" xfId="0" applyNumberFormat="1" applyFill="1" applyAlignment="1" applyProtection="1">
      <alignment horizontal="center"/>
      <protection locked="0"/>
    </xf>
    <xf numFmtId="9" fontId="1" fillId="2" borderId="0" xfId="3" applyFill="1" applyAlignment="1">
      <alignment horizontal="center"/>
    </xf>
    <xf numFmtId="49" fontId="0" fillId="0" borderId="0" xfId="0" applyNumberFormat="1" applyFill="1" applyBorder="1" applyAlignment="1">
      <alignment horizontal="center"/>
    </xf>
    <xf numFmtId="0" fontId="11" fillId="0" borderId="0" xfId="0" applyFont="1"/>
    <xf numFmtId="0" fontId="2" fillId="0" borderId="0" xfId="2" applyFill="1" applyAlignment="1" applyProtection="1"/>
    <xf numFmtId="0" fontId="0" fillId="2" borderId="0" xfId="0" applyFill="1" applyAlignment="1">
      <alignment horizontal="center"/>
    </xf>
    <xf numFmtId="0" fontId="3" fillId="0" borderId="0" xfId="0" applyFont="1" applyAlignment="1">
      <alignment horizontal="left"/>
    </xf>
    <xf numFmtId="44" fontId="3" fillId="2" borderId="0" xfId="0" applyNumberFormat="1" applyFont="1" applyFill="1"/>
    <xf numFmtId="6" fontId="0" fillId="0" borderId="0" xfId="0" applyNumberFormat="1"/>
    <xf numFmtId="9" fontId="0" fillId="0" borderId="0" xfId="3" applyNumberFormat="1" applyFont="1"/>
    <xf numFmtId="182" fontId="0" fillId="0" borderId="0" xfId="1" applyNumberFormat="1" applyFont="1"/>
    <xf numFmtId="44" fontId="0" fillId="4" borderId="0" xfId="1" applyFont="1" applyFill="1"/>
    <xf numFmtId="44" fontId="0" fillId="2" borderId="0" xfId="1" applyFont="1" applyFill="1"/>
    <xf numFmtId="8" fontId="0" fillId="0" borderId="0" xfId="0" applyNumberFormat="1" applyFill="1"/>
    <xf numFmtId="0" fontId="10" fillId="0" borderId="0" xfId="0" applyFont="1"/>
    <xf numFmtId="44" fontId="0" fillId="0" borderId="0" xfId="0" applyNumberFormat="1" applyFill="1"/>
    <xf numFmtId="44" fontId="0" fillId="0" borderId="0" xfId="0" applyNumberFormat="1" applyFill="1" applyProtection="1"/>
    <xf numFmtId="0" fontId="12" fillId="0" borderId="0" xfId="0" applyFont="1"/>
    <xf numFmtId="182" fontId="0" fillId="4" borderId="0" xfId="1" applyNumberFormat="1" applyFont="1" applyFill="1"/>
    <xf numFmtId="182" fontId="1" fillId="2" borderId="0" xfId="1" applyNumberFormat="1" applyFill="1"/>
    <xf numFmtId="182" fontId="3" fillId="2" borderId="0" xfId="1" applyNumberFormat="1" applyFont="1" applyFill="1" applyAlignment="1">
      <alignment horizontal="left" indent="2"/>
    </xf>
    <xf numFmtId="182" fontId="0" fillId="0" borderId="0" xfId="0" applyNumberFormat="1"/>
    <xf numFmtId="182" fontId="3" fillId="2" borderId="0" xfId="1" applyNumberFormat="1" applyFont="1" applyFill="1"/>
    <xf numFmtId="182" fontId="0" fillId="0" borderId="0" xfId="1" applyNumberFormat="1" applyFont="1" applyFill="1"/>
    <xf numFmtId="182" fontId="3" fillId="2" borderId="0" xfId="0" applyNumberFormat="1" applyFont="1" applyFill="1"/>
    <xf numFmtId="182" fontId="0" fillId="2" borderId="0" xfId="1" applyNumberFormat="1" applyFont="1" applyFill="1"/>
    <xf numFmtId="0" fontId="10" fillId="0" borderId="0" xfId="0" applyFont="1" applyAlignment="1">
      <alignment horizontal="left"/>
    </xf>
    <xf numFmtId="182" fontId="0" fillId="4" borderId="0" xfId="1" applyNumberFormat="1" applyFont="1" applyFill="1" applyAlignment="1">
      <alignment horizontal="left"/>
    </xf>
    <xf numFmtId="9" fontId="0" fillId="2" borderId="0" xfId="3" applyFont="1" applyFill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/>
    <xf numFmtId="44" fontId="3" fillId="2" borderId="0" xfId="0" applyNumberFormat="1" applyFont="1" applyFill="1" applyAlignment="1">
      <alignment horizontal="center"/>
    </xf>
    <xf numFmtId="44" fontId="3" fillId="2" borderId="0" xfId="1" applyFont="1" applyFill="1" applyAlignment="1">
      <alignment horizontal="center"/>
    </xf>
    <xf numFmtId="9" fontId="3" fillId="2" borderId="0" xfId="3" applyFont="1" applyFill="1"/>
    <xf numFmtId="182" fontId="3" fillId="4" borderId="0" xfId="1" applyNumberFormat="1" applyFont="1" applyFill="1"/>
    <xf numFmtId="44" fontId="3" fillId="0" borderId="0" xfId="0" applyNumberFormat="1" applyFont="1" applyFill="1"/>
    <xf numFmtId="0" fontId="13" fillId="0" borderId="0" xfId="0" applyFont="1"/>
    <xf numFmtId="0" fontId="13" fillId="0" borderId="0" xfId="0" applyFont="1" applyAlignment="1">
      <alignment horizontal="center"/>
    </xf>
    <xf numFmtId="182" fontId="14" fillId="0" borderId="0" xfId="0" applyNumberFormat="1" applyFont="1"/>
    <xf numFmtId="0" fontId="2" fillId="0" borderId="0" xfId="2" applyFont="1" applyFill="1" applyAlignment="1" applyProtection="1"/>
    <xf numFmtId="0" fontId="12" fillId="0" borderId="0" xfId="0" applyFont="1" applyFill="1"/>
    <xf numFmtId="0" fontId="15" fillId="0" borderId="0" xfId="0" applyFont="1"/>
    <xf numFmtId="0" fontId="3" fillId="0" borderId="0" xfId="2" applyFont="1" applyAlignment="1" applyProtection="1"/>
    <xf numFmtId="0" fontId="0" fillId="0" borderId="0" xfId="0" applyFill="1" applyAlignment="1">
      <alignment horizontal="right"/>
    </xf>
    <xf numFmtId="44" fontId="1" fillId="4" borderId="0" xfId="1" applyFont="1" applyFill="1" applyAlignment="1" applyProtection="1">
      <alignment horizontal="right"/>
      <protection locked="0"/>
    </xf>
    <xf numFmtId="0" fontId="16" fillId="0" borderId="0" xfId="0" applyFont="1"/>
    <xf numFmtId="44" fontId="0" fillId="0" borderId="0" xfId="0" applyNumberFormat="1"/>
    <xf numFmtId="44" fontId="0" fillId="0" borderId="0" xfId="1" applyFont="1"/>
    <xf numFmtId="188" fontId="1" fillId="4" borderId="0" xfId="1" applyNumberFormat="1" applyFont="1" applyFill="1" applyAlignment="1" applyProtection="1">
      <alignment horizontal="right"/>
      <protection locked="0"/>
    </xf>
    <xf numFmtId="0" fontId="0" fillId="0" borderId="0" xfId="0" applyAlignment="1">
      <alignment horizontal="left"/>
    </xf>
    <xf numFmtId="14" fontId="3" fillId="0" borderId="0" xfId="0" applyNumberFormat="1" applyFont="1" applyAlignment="1">
      <alignment horizontal="left"/>
    </xf>
    <xf numFmtId="14" fontId="3" fillId="2" borderId="0" xfId="0" applyNumberFormat="1" applyFont="1" applyFill="1"/>
    <xf numFmtId="0" fontId="0" fillId="4" borderId="0" xfId="0" applyFill="1" applyAlignment="1">
      <alignment horizontal="right"/>
    </xf>
    <xf numFmtId="44" fontId="1" fillId="4" borderId="0" xfId="1" applyNumberFormat="1" applyFill="1" applyAlignment="1">
      <alignment horizontal="right"/>
    </xf>
    <xf numFmtId="14" fontId="17" fillId="0" borderId="0" xfId="0" applyNumberFormat="1" applyFont="1"/>
    <xf numFmtId="0" fontId="18" fillId="0" borderId="0" xfId="0" applyFont="1"/>
    <xf numFmtId="49" fontId="18" fillId="0" borderId="0" xfId="0" applyNumberFormat="1" applyFont="1" applyFill="1" applyBorder="1" applyAlignment="1">
      <alignment horizontal="center"/>
    </xf>
    <xf numFmtId="0" fontId="19" fillId="0" borderId="0" xfId="0" applyFont="1" applyAlignment="1">
      <alignment horizontal="right"/>
    </xf>
    <xf numFmtId="0" fontId="17" fillId="2" borderId="0" xfId="0" applyFont="1" applyFill="1"/>
    <xf numFmtId="0" fontId="17" fillId="0" borderId="0" xfId="0" applyFont="1"/>
    <xf numFmtId="0" fontId="19" fillId="0" borderId="0" xfId="0" applyFont="1"/>
    <xf numFmtId="0" fontId="20" fillId="0" borderId="0" xfId="0" applyFont="1"/>
    <xf numFmtId="0" fontId="18" fillId="4" borderId="0" xfId="0" applyFont="1" applyFill="1"/>
    <xf numFmtId="0" fontId="17" fillId="0" borderId="0" xfId="0" applyFont="1" applyFill="1"/>
    <xf numFmtId="0" fontId="18" fillId="0" borderId="0" xfId="0" applyFont="1" applyFill="1"/>
    <xf numFmtId="0" fontId="17" fillId="2" borderId="0" xfId="0" applyFont="1" applyFill="1" applyAlignment="1">
      <alignment horizontal="left"/>
    </xf>
    <xf numFmtId="10" fontId="18" fillId="2" borderId="0" xfId="3" applyNumberFormat="1" applyFont="1" applyFill="1"/>
    <xf numFmtId="0" fontId="21" fillId="0" borderId="0" xfId="0" applyFont="1"/>
    <xf numFmtId="44" fontId="18" fillId="4" borderId="0" xfId="1" applyFont="1" applyFill="1"/>
    <xf numFmtId="9" fontId="18" fillId="0" borderId="0" xfId="3" applyFont="1"/>
    <xf numFmtId="0" fontId="22" fillId="0" borderId="0" xfId="2" applyFont="1" applyAlignment="1" applyProtection="1"/>
    <xf numFmtId="9" fontId="18" fillId="0" borderId="0" xfId="0" applyNumberFormat="1" applyFont="1" applyFill="1"/>
    <xf numFmtId="0" fontId="18" fillId="0" borderId="0" xfId="0" applyNumberFormat="1" applyFont="1" applyFill="1"/>
    <xf numFmtId="0" fontId="22" fillId="0" borderId="0" xfId="2" applyFont="1" applyFill="1" applyAlignment="1" applyProtection="1"/>
    <xf numFmtId="0" fontId="19" fillId="0" borderId="0" xfId="0" applyFont="1" applyFill="1"/>
    <xf numFmtId="0" fontId="20" fillId="0" borderId="0" xfId="0" applyFont="1" applyFill="1"/>
    <xf numFmtId="0" fontId="18" fillId="0" borderId="0" xfId="2" applyFont="1" applyAlignment="1" applyProtection="1">
      <alignment horizontal="right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0" fontId="23" fillId="0" borderId="0" xfId="0" applyFont="1"/>
    <xf numFmtId="4" fontId="18" fillId="4" borderId="0" xfId="0" applyNumberFormat="1" applyFont="1" applyFill="1"/>
    <xf numFmtId="44" fontId="1" fillId="4" borderId="0" xfId="1" applyNumberFormat="1" applyFill="1" applyAlignment="1" applyProtection="1">
      <alignment horizontal="right"/>
      <protection locked="0"/>
    </xf>
    <xf numFmtId="0" fontId="3" fillId="0" borderId="0" xfId="0" applyFont="1" applyProtection="1"/>
    <xf numFmtId="0" fontId="0" fillId="2" borderId="0" xfId="0" applyFill="1" applyProtection="1"/>
    <xf numFmtId="0" fontId="0" fillId="0" borderId="0" xfId="0" applyProtection="1"/>
    <xf numFmtId="0" fontId="0" fillId="0" borderId="0" xfId="0" applyAlignment="1" applyProtection="1">
      <alignment horizontal="right"/>
    </xf>
    <xf numFmtId="0" fontId="3" fillId="0" borderId="0" xfId="0" applyFont="1" applyAlignment="1" applyProtection="1">
      <alignment horizontal="right"/>
    </xf>
    <xf numFmtId="44" fontId="3" fillId="0" borderId="0" xfId="1" applyNumberFormat="1" applyFont="1" applyFill="1" applyProtection="1"/>
    <xf numFmtId="0" fontId="6" fillId="0" borderId="0" xfId="0" applyFont="1" applyProtection="1"/>
    <xf numFmtId="0" fontId="6" fillId="0" borderId="0" xfId="0" applyFont="1" applyAlignment="1" applyProtection="1">
      <alignment horizontal="right"/>
    </xf>
    <xf numFmtId="0" fontId="9" fillId="0" borderId="0" xfId="0" applyFont="1" applyProtection="1"/>
    <xf numFmtId="0" fontId="5" fillId="0" borderId="0" xfId="0" applyFont="1" applyProtection="1"/>
    <xf numFmtId="0" fontId="6" fillId="4" borderId="0" xfId="0" applyFont="1" applyFill="1" applyAlignment="1" applyProtection="1">
      <alignment horizontal="center"/>
    </xf>
    <xf numFmtId="0" fontId="9" fillId="0" borderId="0" xfId="0" applyFont="1" applyAlignment="1" applyProtection="1">
      <alignment horizontal="left"/>
    </xf>
    <xf numFmtId="0" fontId="0" fillId="2" borderId="0" xfId="0" applyFill="1" applyAlignment="1" applyProtection="1">
      <alignment horizontal="center"/>
    </xf>
    <xf numFmtId="0" fontId="10" fillId="0" borderId="0" xfId="0" applyFont="1" applyProtection="1"/>
    <xf numFmtId="0" fontId="0" fillId="4" borderId="0" xfId="0" applyFill="1" applyAlignment="1" applyProtection="1">
      <alignment horizontal="center"/>
    </xf>
    <xf numFmtId="0" fontId="0" fillId="0" borderId="0" xfId="0" applyFill="1" applyAlignment="1" applyProtection="1">
      <alignment horizontal="center"/>
    </xf>
    <xf numFmtId="0" fontId="5" fillId="0" borderId="0" xfId="0" applyFont="1" applyAlignment="1" applyProtection="1">
      <alignment horizontal="right"/>
    </xf>
    <xf numFmtId="44" fontId="1" fillId="4" borderId="0" xfId="1" applyFill="1" applyAlignment="1" applyProtection="1">
      <alignment horizontal="right"/>
    </xf>
    <xf numFmtId="44" fontId="1" fillId="2" borderId="0" xfId="1" applyFill="1" applyProtection="1"/>
    <xf numFmtId="188" fontId="1" fillId="4" borderId="0" xfId="1" applyNumberFormat="1" applyFill="1" applyAlignment="1" applyProtection="1">
      <alignment horizontal="right"/>
    </xf>
    <xf numFmtId="0" fontId="0" fillId="4" borderId="0" xfId="0" applyFill="1" applyProtection="1"/>
    <xf numFmtId="44" fontId="3" fillId="2" borderId="0" xfId="1" applyFont="1" applyFill="1" applyProtection="1"/>
    <xf numFmtId="0" fontId="10" fillId="0" borderId="0" xfId="0" applyFont="1" applyFill="1" applyProtection="1"/>
    <xf numFmtId="0" fontId="10" fillId="0" borderId="0" xfId="0" applyFont="1" applyFill="1" applyAlignment="1" applyProtection="1">
      <alignment horizontal="right"/>
    </xf>
    <xf numFmtId="0" fontId="10" fillId="0" borderId="0" xfId="0" applyFont="1" applyAlignment="1" applyProtection="1">
      <alignment horizontal="right"/>
    </xf>
    <xf numFmtId="0" fontId="10" fillId="0" borderId="0" xfId="0" applyFont="1" applyAlignment="1" applyProtection="1">
      <alignment horizontal="center"/>
    </xf>
    <xf numFmtId="44" fontId="1" fillId="0" borderId="0" xfId="1" applyFill="1" applyAlignment="1" applyProtection="1">
      <alignment horizontal="right"/>
    </xf>
    <xf numFmtId="0" fontId="0" fillId="0" borderId="0" xfId="0" applyFill="1" applyProtection="1"/>
    <xf numFmtId="44" fontId="1" fillId="0" borderId="0" xfId="1" applyFill="1" applyProtection="1"/>
    <xf numFmtId="44" fontId="1" fillId="2" borderId="0" xfId="1" applyNumberFormat="1" applyFill="1" applyAlignment="1" applyProtection="1">
      <alignment horizontal="right"/>
    </xf>
    <xf numFmtId="44" fontId="1" fillId="2" borderId="0" xfId="1" applyFill="1" applyAlignment="1" applyProtection="1"/>
    <xf numFmtId="44" fontId="1" fillId="4" borderId="0" xfId="1" applyNumberFormat="1" applyFill="1" applyProtection="1"/>
    <xf numFmtId="44" fontId="1" fillId="0" borderId="0" xfId="1" applyProtection="1"/>
    <xf numFmtId="0" fontId="6" fillId="0" borderId="0" xfId="0" applyFont="1" applyFill="1" applyProtection="1"/>
    <xf numFmtId="9" fontId="0" fillId="4" borderId="0" xfId="0" applyNumberFormat="1" applyFill="1" applyAlignment="1" applyProtection="1">
      <alignment horizontal="center"/>
    </xf>
    <xf numFmtId="9" fontId="1" fillId="2" borderId="0" xfId="3" applyFill="1" applyAlignment="1" applyProtection="1">
      <alignment horizontal="center"/>
    </xf>
    <xf numFmtId="44" fontId="3" fillId="0" borderId="0" xfId="0" applyNumberFormat="1" applyFont="1" applyFill="1" applyProtection="1"/>
    <xf numFmtId="0" fontId="3" fillId="0" borderId="0" xfId="0" applyFont="1" applyAlignment="1" applyProtection="1"/>
    <xf numFmtId="44" fontId="3" fillId="2" borderId="0" xfId="0" applyNumberFormat="1" applyFont="1" applyFill="1" applyProtection="1"/>
    <xf numFmtId="182" fontId="3" fillId="4" borderId="0" xfId="1" applyNumberFormat="1" applyFont="1" applyFill="1" applyProtection="1"/>
    <xf numFmtId="0" fontId="16" fillId="0" borderId="0" xfId="0" applyFont="1" applyProtection="1"/>
    <xf numFmtId="9" fontId="3" fillId="2" borderId="0" xfId="3" applyFont="1" applyFill="1" applyProtection="1"/>
    <xf numFmtId="44" fontId="3" fillId="2" borderId="0" xfId="0" applyNumberFormat="1" applyFont="1" applyFill="1" applyAlignment="1" applyProtection="1">
      <alignment horizontal="center"/>
    </xf>
    <xf numFmtId="0" fontId="3" fillId="2" borderId="0" xfId="0" applyFont="1" applyFill="1" applyAlignment="1" applyProtection="1">
      <alignment horizontal="center"/>
    </xf>
    <xf numFmtId="44" fontId="3" fillId="2" borderId="0" xfId="1" applyFont="1" applyFill="1" applyAlignment="1" applyProtection="1">
      <alignment horizontal="center"/>
    </xf>
  </cellXfs>
  <cellStyles count="4">
    <cellStyle name="Currency" xfId="1" builtinId="4"/>
    <cellStyle name="Hyperlink" xfId="2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851A1-2DA2-4A3E-8635-38260D2AEB11}">
  <sheetPr codeName="Sheet2"/>
  <dimension ref="A1:K44"/>
  <sheetViews>
    <sheetView tabSelected="1" zoomScale="85" zoomScaleNormal="100" workbookViewId="0">
      <selection activeCell="E19" sqref="E19"/>
    </sheetView>
  </sheetViews>
  <sheetFormatPr defaultColWidth="8.85546875" defaultRowHeight="12.75" x14ac:dyDescent="0.2"/>
  <cols>
    <col min="1" max="1" width="18.42578125" customWidth="1"/>
    <col min="2" max="2" width="31.140625" customWidth="1"/>
    <col min="3" max="3" width="22.42578125" customWidth="1"/>
    <col min="4" max="4" width="23" customWidth="1"/>
    <col min="5" max="5" width="25.85546875" customWidth="1"/>
    <col min="6" max="6" width="11.85546875" customWidth="1"/>
    <col min="7" max="7" width="14.7109375" customWidth="1"/>
  </cols>
  <sheetData>
    <row r="1" spans="1:11" ht="18" x14ac:dyDescent="0.25">
      <c r="A1" s="100">
        <f ca="1">TODAY()</f>
        <v>45810</v>
      </c>
      <c r="B1" s="101"/>
      <c r="C1" s="101"/>
      <c r="D1" s="102"/>
      <c r="E1" s="103" t="s">
        <v>119</v>
      </c>
      <c r="F1" s="101"/>
      <c r="G1" s="101"/>
      <c r="H1" s="101"/>
      <c r="I1" s="101"/>
    </row>
    <row r="2" spans="1:11" ht="18" x14ac:dyDescent="0.25">
      <c r="A2" s="101"/>
      <c r="B2" s="101"/>
      <c r="C2" s="101"/>
      <c r="D2" s="101"/>
      <c r="E2" s="101"/>
      <c r="F2" s="101"/>
      <c r="G2" s="101"/>
      <c r="H2" s="101"/>
      <c r="I2" s="101"/>
    </row>
    <row r="3" spans="1:11" ht="18" x14ac:dyDescent="0.25">
      <c r="A3" s="104" t="s">
        <v>152</v>
      </c>
      <c r="B3" s="105" t="s">
        <v>113</v>
      </c>
      <c r="C3" s="101"/>
      <c r="D3" s="101"/>
      <c r="E3" s="104" t="s">
        <v>154</v>
      </c>
      <c r="F3" s="105" t="s">
        <v>188</v>
      </c>
      <c r="G3" s="105"/>
      <c r="H3" s="101"/>
      <c r="I3" s="101"/>
    </row>
    <row r="4" spans="1:11" ht="18" x14ac:dyDescent="0.25">
      <c r="A4" s="101"/>
      <c r="B4" s="101"/>
      <c r="C4" s="101"/>
      <c r="D4" s="101"/>
      <c r="E4" s="101"/>
      <c r="F4" s="101"/>
      <c r="G4" s="101"/>
      <c r="H4" s="101"/>
      <c r="I4" s="101"/>
    </row>
    <row r="5" spans="1:11" ht="18" x14ac:dyDescent="0.25">
      <c r="A5" s="106" t="s">
        <v>107</v>
      </c>
      <c r="B5" s="101"/>
      <c r="C5" s="101"/>
      <c r="D5" s="101"/>
      <c r="E5" s="106" t="s">
        <v>108</v>
      </c>
      <c r="F5" s="101"/>
      <c r="G5" s="106" t="s">
        <v>0</v>
      </c>
      <c r="H5" s="107"/>
      <c r="I5" s="101"/>
    </row>
    <row r="6" spans="1:11" ht="18" x14ac:dyDescent="0.25">
      <c r="A6" s="101"/>
      <c r="B6" s="108" t="s">
        <v>173</v>
      </c>
      <c r="C6" s="101"/>
      <c r="D6" s="101"/>
      <c r="E6" s="101"/>
      <c r="F6" s="101"/>
      <c r="G6" s="101"/>
      <c r="H6" s="101"/>
      <c r="I6" s="109"/>
      <c r="J6" s="10"/>
      <c r="K6" s="10"/>
    </row>
    <row r="7" spans="1:11" ht="18" x14ac:dyDescent="0.25">
      <c r="A7" s="101"/>
      <c r="B7" s="101"/>
      <c r="C7" s="101"/>
      <c r="D7" s="101"/>
      <c r="E7" s="101"/>
      <c r="F7" s="101"/>
      <c r="G7" s="105" t="s">
        <v>1</v>
      </c>
      <c r="H7" s="105" t="s">
        <v>2</v>
      </c>
      <c r="I7" s="110"/>
      <c r="J7" s="10"/>
      <c r="K7" s="10"/>
    </row>
    <row r="8" spans="1:11" ht="18" x14ac:dyDescent="0.25">
      <c r="A8" s="101"/>
      <c r="B8" s="101"/>
      <c r="C8" s="101"/>
      <c r="D8" s="101"/>
      <c r="E8" s="105" t="s">
        <v>3</v>
      </c>
      <c r="F8" s="111">
        <v>2003</v>
      </c>
      <c r="G8" s="111">
        <v>2004</v>
      </c>
      <c r="H8" s="111">
        <v>2005</v>
      </c>
      <c r="I8" s="110"/>
      <c r="J8" s="10"/>
      <c r="K8" s="10"/>
    </row>
    <row r="9" spans="1:11" ht="18" x14ac:dyDescent="0.25">
      <c r="A9" s="106" t="s">
        <v>28</v>
      </c>
      <c r="B9" s="101"/>
      <c r="C9" s="101"/>
      <c r="D9" s="101"/>
      <c r="E9" s="101"/>
      <c r="F9" s="101"/>
      <c r="G9" s="101"/>
      <c r="H9" s="101"/>
      <c r="I9" s="110"/>
      <c r="J9" s="10"/>
      <c r="K9" s="10"/>
    </row>
    <row r="10" spans="1:11" ht="18" x14ac:dyDescent="0.25">
      <c r="A10" s="105"/>
      <c r="B10" s="101"/>
      <c r="C10" s="105" t="s">
        <v>37</v>
      </c>
      <c r="D10" s="101"/>
      <c r="E10" s="105" t="s">
        <v>4</v>
      </c>
      <c r="F10" s="108">
        <v>100</v>
      </c>
      <c r="G10" s="108">
        <v>215</v>
      </c>
      <c r="H10" s="108">
        <v>2</v>
      </c>
      <c r="I10" s="110"/>
      <c r="J10" s="10"/>
      <c r="K10" s="10"/>
    </row>
    <row r="11" spans="1:11" ht="18.75" x14ac:dyDescent="0.3">
      <c r="A11" s="112">
        <f>SUM(C11/C18)</f>
        <v>0.717439293598234</v>
      </c>
      <c r="B11" s="113" t="s">
        <v>29</v>
      </c>
      <c r="C11" s="114">
        <v>325000</v>
      </c>
      <c r="D11" s="101"/>
      <c r="E11" s="105" t="s">
        <v>12</v>
      </c>
      <c r="F11" s="108">
        <v>20</v>
      </c>
      <c r="G11" s="108">
        <v>23</v>
      </c>
      <c r="H11" s="108">
        <v>0</v>
      </c>
      <c r="I11" s="110"/>
      <c r="J11" s="10"/>
      <c r="K11" s="10"/>
    </row>
    <row r="12" spans="1:11" ht="18.75" x14ac:dyDescent="0.3">
      <c r="A12" s="112">
        <f>SUM(C12/C18)</f>
        <v>0.18101545253863136</v>
      </c>
      <c r="B12" s="113" t="s">
        <v>20</v>
      </c>
      <c r="C12" s="114">
        <v>82000</v>
      </c>
      <c r="D12" s="101"/>
      <c r="E12" s="105" t="s">
        <v>11</v>
      </c>
      <c r="F12" s="108">
        <v>17</v>
      </c>
      <c r="G12" s="108">
        <v>35</v>
      </c>
      <c r="H12" s="108">
        <v>0</v>
      </c>
      <c r="I12" s="110"/>
      <c r="J12" s="10"/>
      <c r="K12" s="10"/>
    </row>
    <row r="13" spans="1:11" ht="18.75" x14ac:dyDescent="0.3">
      <c r="A13" s="112">
        <f>SUM(C13/C18)</f>
        <v>7.7262693156732898E-2</v>
      </c>
      <c r="B13" s="113" t="s">
        <v>30</v>
      </c>
      <c r="C13" s="114">
        <v>35000</v>
      </c>
      <c r="D13" s="101"/>
      <c r="E13" s="105" t="s">
        <v>122</v>
      </c>
      <c r="F13" s="108">
        <v>1</v>
      </c>
      <c r="G13" s="108">
        <v>15</v>
      </c>
      <c r="H13" s="108">
        <v>3</v>
      </c>
      <c r="I13" s="110"/>
      <c r="J13" s="10"/>
      <c r="K13" s="10"/>
    </row>
    <row r="14" spans="1:11" ht="18.75" x14ac:dyDescent="0.3">
      <c r="A14" s="112">
        <f>SUM(C14/C18)</f>
        <v>1.434878587196468E-2</v>
      </c>
      <c r="B14" s="113" t="s">
        <v>19</v>
      </c>
      <c r="C14" s="114">
        <v>6500</v>
      </c>
      <c r="D14" s="101"/>
      <c r="E14" s="105" t="s">
        <v>5</v>
      </c>
      <c r="F14" s="108">
        <v>9</v>
      </c>
      <c r="G14" s="108">
        <v>9</v>
      </c>
      <c r="H14" s="108">
        <v>0</v>
      </c>
      <c r="I14" s="110"/>
      <c r="J14" s="10"/>
      <c r="K14" s="10"/>
    </row>
    <row r="15" spans="1:11" ht="18.75" x14ac:dyDescent="0.3">
      <c r="A15" s="112">
        <f>SUM(C15/C18)</f>
        <v>9.9337748344370865E-3</v>
      </c>
      <c r="B15" s="113" t="s">
        <v>21</v>
      </c>
      <c r="C15" s="114">
        <v>4500</v>
      </c>
      <c r="D15" s="101"/>
      <c r="E15" s="105" t="s">
        <v>6</v>
      </c>
      <c r="F15" s="108">
        <v>28</v>
      </c>
      <c r="G15" s="108">
        <v>49</v>
      </c>
      <c r="H15" s="108">
        <v>2</v>
      </c>
      <c r="I15" s="110"/>
      <c r="J15" s="10"/>
      <c r="K15" s="10"/>
    </row>
    <row r="16" spans="1:11" ht="18" x14ac:dyDescent="0.25">
      <c r="A16" s="115"/>
      <c r="B16" s="101"/>
      <c r="D16" s="101"/>
      <c r="E16" s="105" t="s">
        <v>7</v>
      </c>
      <c r="F16" s="108">
        <v>4</v>
      </c>
      <c r="G16" s="108">
        <v>5</v>
      </c>
      <c r="H16" s="108">
        <v>0</v>
      </c>
      <c r="I16" s="101"/>
    </row>
    <row r="17" spans="1:10" ht="18" x14ac:dyDescent="0.25">
      <c r="A17" s="101"/>
      <c r="B17" s="116"/>
      <c r="C17" s="101"/>
      <c r="D17" s="101"/>
      <c r="E17" s="105" t="s">
        <v>8</v>
      </c>
      <c r="F17" s="108">
        <v>1</v>
      </c>
      <c r="G17" s="108">
        <v>3</v>
      </c>
      <c r="H17" s="108">
        <v>1</v>
      </c>
      <c r="I17" s="101"/>
    </row>
    <row r="18" spans="1:10" ht="18.75" x14ac:dyDescent="0.3">
      <c r="A18" s="117"/>
      <c r="B18" s="113" t="s">
        <v>189</v>
      </c>
      <c r="C18" s="126">
        <f>SUM(C11:C15)</f>
        <v>453000</v>
      </c>
      <c r="D18" s="101"/>
      <c r="E18" s="105" t="s">
        <v>13</v>
      </c>
      <c r="F18" s="108">
        <v>0</v>
      </c>
      <c r="G18" s="108">
        <v>2</v>
      </c>
      <c r="H18" s="108">
        <v>0</v>
      </c>
      <c r="I18" s="101"/>
    </row>
    <row r="19" spans="1:10" ht="18" x14ac:dyDescent="0.25">
      <c r="A19" s="101"/>
      <c r="B19" s="101"/>
      <c r="C19" s="101"/>
      <c r="D19" s="101"/>
      <c r="E19" s="105" t="s">
        <v>31</v>
      </c>
      <c r="F19" s="108">
        <v>0</v>
      </c>
      <c r="G19" s="108">
        <v>0</v>
      </c>
      <c r="H19" s="108">
        <v>0</v>
      </c>
      <c r="I19" s="110"/>
      <c r="J19" s="10"/>
    </row>
    <row r="20" spans="1:10" ht="18" x14ac:dyDescent="0.25">
      <c r="A20" s="109"/>
      <c r="B20" s="101"/>
      <c r="C20" s="101"/>
      <c r="D20" s="101"/>
      <c r="E20" s="105" t="s">
        <v>172</v>
      </c>
      <c r="F20" s="108">
        <v>0</v>
      </c>
      <c r="G20" s="108">
        <v>15</v>
      </c>
      <c r="H20" s="108"/>
      <c r="I20" s="110"/>
      <c r="J20" s="10"/>
    </row>
    <row r="21" spans="1:10" ht="18" x14ac:dyDescent="0.25">
      <c r="A21" s="101"/>
      <c r="B21" s="101"/>
      <c r="C21" s="101"/>
      <c r="D21" s="118"/>
      <c r="E21" s="105" t="s">
        <v>189</v>
      </c>
      <c r="F21" s="108">
        <f>SUM(F10:F20)</f>
        <v>180</v>
      </c>
      <c r="G21" s="108">
        <f>SUM(G10:G20)</f>
        <v>371</v>
      </c>
      <c r="H21" s="108">
        <f>SUM(H10:H20)</f>
        <v>8</v>
      </c>
      <c r="I21" s="110"/>
      <c r="J21" s="10"/>
    </row>
    <row r="22" spans="1:10" ht="18" x14ac:dyDescent="0.25">
      <c r="A22" s="101"/>
      <c r="B22" s="101"/>
      <c r="C22" s="101"/>
      <c r="D22" s="101"/>
      <c r="E22" s="101"/>
      <c r="F22" s="101"/>
      <c r="G22" s="101"/>
      <c r="H22" s="101"/>
      <c r="I22" s="119"/>
      <c r="J22" s="10"/>
    </row>
    <row r="23" spans="1:10" ht="18" x14ac:dyDescent="0.25">
      <c r="A23" s="101"/>
      <c r="B23" s="101"/>
      <c r="C23" s="101"/>
      <c r="D23" s="101"/>
      <c r="E23" s="101"/>
      <c r="F23" s="101"/>
      <c r="G23" s="101"/>
      <c r="H23" s="101"/>
      <c r="I23" s="110"/>
      <c r="J23" s="10"/>
    </row>
    <row r="24" spans="1:10" ht="18" x14ac:dyDescent="0.25">
      <c r="A24" s="104" t="s">
        <v>153</v>
      </c>
      <c r="B24" s="101"/>
      <c r="C24" s="101"/>
      <c r="D24" s="101"/>
      <c r="E24" s="104" t="s">
        <v>185</v>
      </c>
      <c r="F24" s="101"/>
      <c r="G24" s="101"/>
      <c r="H24" s="101"/>
      <c r="I24" s="110"/>
      <c r="J24" s="10"/>
    </row>
    <row r="25" spans="1:10" ht="18" x14ac:dyDescent="0.25">
      <c r="A25" s="120"/>
      <c r="B25" s="121"/>
      <c r="C25" s="110"/>
      <c r="D25" s="101" t="s">
        <v>173</v>
      </c>
      <c r="E25" s="101"/>
      <c r="F25" s="106"/>
      <c r="G25" s="101"/>
      <c r="H25" s="101"/>
      <c r="I25" s="101"/>
    </row>
    <row r="26" spans="1:10" ht="18" x14ac:dyDescent="0.25">
      <c r="A26" s="105" t="s">
        <v>116</v>
      </c>
      <c r="B26" s="105"/>
      <c r="C26" s="101"/>
      <c r="D26" s="122"/>
      <c r="E26" s="123" t="s">
        <v>36</v>
      </c>
      <c r="F26" s="101"/>
      <c r="G26" s="101"/>
      <c r="H26" s="101"/>
      <c r="I26" s="101"/>
    </row>
    <row r="27" spans="1:10" ht="18" x14ac:dyDescent="0.25">
      <c r="A27" s="101"/>
      <c r="B27" s="101"/>
      <c r="C27" s="101"/>
      <c r="D27" s="124"/>
      <c r="E27" s="122"/>
      <c r="F27" s="105" t="s">
        <v>186</v>
      </c>
      <c r="G27" s="101"/>
      <c r="H27" s="101"/>
      <c r="I27" s="101"/>
    </row>
    <row r="28" spans="1:10" ht="18" x14ac:dyDescent="0.25">
      <c r="A28" s="101"/>
      <c r="B28" s="101"/>
      <c r="C28" s="101"/>
      <c r="D28" s="124"/>
      <c r="E28" s="101"/>
      <c r="F28" s="101"/>
      <c r="G28" s="101"/>
      <c r="H28" s="101"/>
      <c r="I28" s="101"/>
    </row>
    <row r="29" spans="1:10" ht="18" x14ac:dyDescent="0.25">
      <c r="A29" s="101"/>
      <c r="B29" s="101"/>
      <c r="C29" s="101"/>
      <c r="D29" s="124"/>
      <c r="E29" s="101"/>
      <c r="F29" s="101"/>
      <c r="G29" s="101"/>
      <c r="H29" s="101"/>
      <c r="I29" s="101"/>
    </row>
    <row r="30" spans="1:10" ht="18" x14ac:dyDescent="0.25">
      <c r="A30" s="125" t="s">
        <v>112</v>
      </c>
      <c r="B30" s="125"/>
      <c r="C30" s="101"/>
      <c r="D30" s="119"/>
      <c r="E30" s="101"/>
      <c r="F30" s="101"/>
      <c r="G30" s="101"/>
      <c r="H30" s="101"/>
      <c r="I30" s="101"/>
    </row>
    <row r="31" spans="1:10" ht="18" x14ac:dyDescent="0.25">
      <c r="A31" s="101"/>
      <c r="B31" s="101"/>
      <c r="C31" s="101"/>
      <c r="D31" s="110"/>
      <c r="E31" s="101"/>
      <c r="F31" s="101"/>
      <c r="G31" s="101"/>
      <c r="H31" s="101"/>
      <c r="I31" s="101"/>
    </row>
    <row r="32" spans="1:10" ht="18" x14ac:dyDescent="0.25">
      <c r="A32" s="101"/>
      <c r="B32" s="101"/>
      <c r="C32" s="101"/>
      <c r="D32" s="119"/>
      <c r="E32" s="101"/>
      <c r="F32" s="101"/>
      <c r="G32" s="101"/>
      <c r="H32" s="101"/>
      <c r="I32" s="101"/>
    </row>
    <row r="33" spans="1:9" ht="18" x14ac:dyDescent="0.25">
      <c r="A33" s="101"/>
      <c r="B33" s="101"/>
      <c r="C33" s="101"/>
      <c r="D33" s="110"/>
      <c r="E33" s="101"/>
      <c r="F33" s="101"/>
      <c r="G33" s="101"/>
      <c r="H33" s="101"/>
      <c r="I33" s="101"/>
    </row>
    <row r="34" spans="1:9" x14ac:dyDescent="0.2">
      <c r="D34" s="85"/>
    </row>
    <row r="35" spans="1:9" x14ac:dyDescent="0.2">
      <c r="D35" s="10"/>
    </row>
    <row r="36" spans="1:9" x14ac:dyDescent="0.2">
      <c r="D36" s="85"/>
    </row>
    <row r="37" spans="1:9" x14ac:dyDescent="0.2">
      <c r="D37" s="10"/>
    </row>
    <row r="38" spans="1:9" x14ac:dyDescent="0.2">
      <c r="D38" s="85"/>
    </row>
    <row r="39" spans="1:9" x14ac:dyDescent="0.2">
      <c r="D39" s="10"/>
    </row>
    <row r="40" spans="1:9" x14ac:dyDescent="0.2">
      <c r="D40" s="85"/>
    </row>
    <row r="41" spans="1:9" x14ac:dyDescent="0.2">
      <c r="D41" s="10"/>
    </row>
    <row r="42" spans="1:9" x14ac:dyDescent="0.2">
      <c r="D42" s="85"/>
    </row>
    <row r="43" spans="1:9" x14ac:dyDescent="0.2">
      <c r="D43" s="10"/>
    </row>
    <row r="44" spans="1:9" x14ac:dyDescent="0.2">
      <c r="D44" s="85"/>
    </row>
  </sheetData>
  <phoneticPr fontId="0" type="noConversion"/>
  <pageMargins left="0.75" right="0.75" top="1" bottom="1" header="0.5" footer="0.5"/>
  <pageSetup scale="86" orientation="landscape" horizontalDpi="360" verticalDpi="4294967293"/>
  <headerFooter alignWithMargins="0"/>
  <colBreaks count="1" manualBreakCount="1">
    <brk id="9" max="3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2223A-996F-46F3-A2FA-54BA71FF41FB}">
  <sheetPr codeName="Sheet4"/>
  <dimension ref="A1:N31"/>
  <sheetViews>
    <sheetView zoomScaleNormal="100" workbookViewId="0">
      <selection activeCell="D42" sqref="D42"/>
    </sheetView>
  </sheetViews>
  <sheetFormatPr defaultColWidth="8.85546875" defaultRowHeight="12.75" x14ac:dyDescent="0.2"/>
  <cols>
    <col min="1" max="1" width="12.42578125" customWidth="1"/>
    <col min="2" max="2" width="20.42578125" customWidth="1"/>
    <col min="3" max="3" width="9.28515625" bestFit="1" customWidth="1"/>
    <col min="4" max="5" width="8.85546875" customWidth="1"/>
    <col min="6" max="6" width="9.28515625" bestFit="1" customWidth="1"/>
    <col min="7" max="7" width="8.85546875" customWidth="1"/>
    <col min="8" max="8" width="9.28515625" bestFit="1" customWidth="1"/>
    <col min="9" max="10" width="8.85546875" customWidth="1"/>
    <col min="11" max="11" width="9.28515625" bestFit="1" customWidth="1"/>
    <col min="12" max="12" width="8.85546875" customWidth="1"/>
    <col min="13" max="13" width="13.42578125" bestFit="1" customWidth="1"/>
  </cols>
  <sheetData>
    <row r="1" spans="1:14" ht="20.25" x14ac:dyDescent="0.3">
      <c r="A1" s="96">
        <f ca="1">TODAY()</f>
        <v>45810</v>
      </c>
      <c r="D1" s="47"/>
      <c r="J1" s="2" t="s">
        <v>117</v>
      </c>
    </row>
    <row r="2" spans="1:14" x14ac:dyDescent="0.2">
      <c r="M2" s="49"/>
      <c r="N2" s="10"/>
    </row>
    <row r="3" spans="1:14" x14ac:dyDescent="0.2">
      <c r="A3" s="48" t="s">
        <v>107</v>
      </c>
    </row>
    <row r="4" spans="1:14" x14ac:dyDescent="0.2">
      <c r="B4" s="3" t="str">
        <f>'Data Entry'!B6</f>
        <v xml:space="preserve"> </v>
      </c>
    </row>
    <row r="6" spans="1:14" x14ac:dyDescent="0.2">
      <c r="C6" s="82" t="s">
        <v>171</v>
      </c>
      <c r="F6" s="83" t="s">
        <v>166</v>
      </c>
      <c r="H6" s="82" t="s">
        <v>169</v>
      </c>
      <c r="K6" s="82" t="s">
        <v>168</v>
      </c>
      <c r="M6" s="82" t="s">
        <v>170</v>
      </c>
    </row>
    <row r="7" spans="1:14" x14ac:dyDescent="0.2">
      <c r="A7" s="11" t="s">
        <v>4</v>
      </c>
      <c r="B7" s="11"/>
      <c r="C7" s="70">
        <f>'Open Water'!K68</f>
        <v>194.49561142783497</v>
      </c>
      <c r="F7" s="70">
        <f>'Open Water'!G70</f>
        <v>300</v>
      </c>
      <c r="H7" s="70">
        <f>'Open Water'!G75</f>
        <v>105.50438857216503</v>
      </c>
      <c r="K7" s="73">
        <f>'Open Water'!G71</f>
        <v>0.54245125531437011</v>
      </c>
      <c r="M7" s="70">
        <f>'Open Water'!G78</f>
        <v>22683.443543015481</v>
      </c>
    </row>
    <row r="8" spans="1:14" x14ac:dyDescent="0.2">
      <c r="A8" s="11" t="s">
        <v>12</v>
      </c>
      <c r="B8" s="11"/>
      <c r="C8" s="70">
        <f>'Adventure Diver'!L59</f>
        <v>7.6592204473187779</v>
      </c>
      <c r="F8" s="70">
        <f>'Adventure Diver'!G61</f>
        <v>0</v>
      </c>
      <c r="H8" s="70">
        <f>'Adventure Diver'!G66</f>
        <v>-7.6592204473187779</v>
      </c>
      <c r="K8" s="73">
        <f>'Adventure Diver'!G62</f>
        <v>-1</v>
      </c>
      <c r="M8" s="70">
        <f>'Adventure Diver'!G69</f>
        <v>-176.1620702883319</v>
      </c>
    </row>
    <row r="9" spans="1:14" x14ac:dyDescent="0.2">
      <c r="A9" s="11" t="s">
        <v>11</v>
      </c>
      <c r="B9" s="11"/>
      <c r="C9" s="70">
        <f>Advanced!L59</f>
        <v>95.003161550267706</v>
      </c>
      <c r="F9" s="70">
        <v>0</v>
      </c>
      <c r="H9" s="70">
        <f>Advanced!G66</f>
        <v>-95.003161550267706</v>
      </c>
      <c r="K9" s="73">
        <f>Advanced!G62</f>
        <v>-1</v>
      </c>
      <c r="M9" s="70">
        <f>Advanced!G69</f>
        <v>-3325.1106542593698</v>
      </c>
    </row>
    <row r="10" spans="1:14" x14ac:dyDescent="0.2">
      <c r="A10" s="11" t="s">
        <v>122</v>
      </c>
      <c r="C10" s="70">
        <f>' EFR'!L59</f>
        <v>16.054926378686158</v>
      </c>
      <c r="F10" s="70">
        <f>' EFR'!G61</f>
        <v>0</v>
      </c>
      <c r="H10" s="70">
        <f>' EFR'!G66</f>
        <v>-16.054926378686158</v>
      </c>
      <c r="K10" s="73">
        <f>' EFR'!G62</f>
        <v>-1</v>
      </c>
      <c r="M10" s="70">
        <f>' EFR'!G69</f>
        <v>-240.82389568029237</v>
      </c>
    </row>
    <row r="11" spans="1:14" x14ac:dyDescent="0.2">
      <c r="A11" s="11" t="s">
        <v>5</v>
      </c>
      <c r="B11" s="11"/>
      <c r="C11" s="70">
        <f>Rescue!L59</f>
        <v>11.257955827211696</v>
      </c>
      <c r="F11" s="70">
        <f>Rescue!G61</f>
        <v>0</v>
      </c>
      <c r="H11" s="70">
        <f>Rescue!G66</f>
        <v>-11.257955827211696</v>
      </c>
      <c r="K11" s="73">
        <f>Rescue!G62</f>
        <v>-1</v>
      </c>
      <c r="M11" s="70">
        <f>Rescue!G69</f>
        <v>-101.32160244490527</v>
      </c>
    </row>
    <row r="12" spans="1:14" x14ac:dyDescent="0.2">
      <c r="A12" s="11" t="s">
        <v>7</v>
      </c>
      <c r="B12" s="11"/>
      <c r="C12" s="70">
        <f>Divemaster!L59</f>
        <v>12.643308792895386</v>
      </c>
      <c r="F12" s="70">
        <f>Divemaster!G61</f>
        <v>0</v>
      </c>
      <c r="H12" s="70">
        <f>Divemaster!G66</f>
        <v>-12.643308792895386</v>
      </c>
      <c r="K12" s="73">
        <f>Divemaster!G62</f>
        <v>-1</v>
      </c>
      <c r="M12" s="70">
        <f>Divemaster!G69</f>
        <v>-63.216543964476926</v>
      </c>
    </row>
    <row r="13" spans="1:14" x14ac:dyDescent="0.2">
      <c r="A13" s="11" t="s">
        <v>8</v>
      </c>
      <c r="B13" s="11"/>
      <c r="C13" s="70">
        <f>'Assistant Instructor'!L59</f>
        <v>30.085985275737233</v>
      </c>
      <c r="F13" s="70">
        <f>'Assistant Instructor'!G61</f>
        <v>0</v>
      </c>
      <c r="H13" s="70">
        <f>'Assistant Instructor'!G66</f>
        <v>-30.085985275737233</v>
      </c>
      <c r="K13" s="73">
        <f>'Assistant Instructor'!G62</f>
        <v>-1</v>
      </c>
      <c r="M13" s="70">
        <f>'Assistant Instructor'!G69</f>
        <v>-90.257955827211703</v>
      </c>
    </row>
    <row r="14" spans="1:14" x14ac:dyDescent="0.2">
      <c r="A14" s="11" t="s">
        <v>13</v>
      </c>
      <c r="B14" s="11"/>
      <c r="C14" s="70">
        <f>OWSI!L59</f>
        <v>2.866175857907732E-2</v>
      </c>
      <c r="F14" s="70">
        <f>OWSI!G61</f>
        <v>0</v>
      </c>
      <c r="H14" s="70">
        <f>OWSI!G66</f>
        <v>-2.866175857907732E-2</v>
      </c>
      <c r="K14" s="73">
        <f>OWSI!G62</f>
        <v>-1</v>
      </c>
      <c r="M14" s="70">
        <f>OWSI!G69</f>
        <v>-2.866175857907732E-2</v>
      </c>
    </row>
    <row r="15" spans="1:14" x14ac:dyDescent="0.2">
      <c r="A15" s="11" t="s">
        <v>31</v>
      </c>
      <c r="B15" s="11"/>
      <c r="C15" s="70">
        <f>'PADI Seal Team'!L59</f>
        <v>29.166666666666668</v>
      </c>
      <c r="F15" s="70">
        <f>'PADI Seal Team'!G61</f>
        <v>0</v>
      </c>
      <c r="H15" s="70">
        <f>'PADI Seal Team'!G66</f>
        <v>-29.166666666666668</v>
      </c>
      <c r="K15" s="73">
        <f>'PADI Seal Team'!G62</f>
        <v>-1</v>
      </c>
      <c r="M15" s="70">
        <f>'PADI Seal Team'!G69</f>
        <v>0</v>
      </c>
    </row>
    <row r="16" spans="1:14" x14ac:dyDescent="0.2">
      <c r="A16" s="11" t="s">
        <v>172</v>
      </c>
      <c r="B16" s="11"/>
      <c r="C16" s="70">
        <f>Bubblemaker!L59</f>
        <v>1.9299263786861598</v>
      </c>
      <c r="F16" s="70">
        <f>Bubblemaker!G61</f>
        <v>0</v>
      </c>
      <c r="H16" s="70">
        <f>Bubblemaker!G66</f>
        <v>-1.9299263786861598</v>
      </c>
      <c r="K16" s="73">
        <f>Bubblemaker!G62</f>
        <v>-1</v>
      </c>
      <c r="M16" s="70">
        <f>Bubblemaker!G69</f>
        <v>-28.948895680292395</v>
      </c>
    </row>
    <row r="17" spans="1:13" x14ac:dyDescent="0.2">
      <c r="B17" s="59" t="s">
        <v>187</v>
      </c>
    </row>
    <row r="18" spans="1:13" x14ac:dyDescent="0.2">
      <c r="A18" t="s">
        <v>174</v>
      </c>
      <c r="B18" s="88" t="s">
        <v>34</v>
      </c>
      <c r="C18" s="70">
        <f>'Specialty (1)'!L59</f>
        <v>86.596593045352833</v>
      </c>
      <c r="F18" s="70">
        <f>'Specialty (1)'!G61</f>
        <v>130</v>
      </c>
      <c r="H18" s="70">
        <f>'Specialty (1)'!G66</f>
        <v>43.403406954647167</v>
      </c>
      <c r="K18" s="73">
        <f>'Specialty (1)'!G62</f>
        <v>0.50121379407981681</v>
      </c>
      <c r="M18" s="70">
        <f>'Specialty (1)'!G69</f>
        <v>651.05110431970752</v>
      </c>
    </row>
    <row r="19" spans="1:13" x14ac:dyDescent="0.2">
      <c r="A19" s="10" t="s">
        <v>175</v>
      </c>
      <c r="B19" s="88" t="s">
        <v>173</v>
      </c>
      <c r="C19" s="70">
        <f>'Specialty (2)'!L59</f>
        <v>2.866175857907732E-2</v>
      </c>
      <c r="F19" s="70">
        <f>'Specialty (2)'!G61</f>
        <v>0</v>
      </c>
      <c r="H19" s="70">
        <f>'Specialty (2)'!G66</f>
        <v>-2.866175857907732E-2</v>
      </c>
      <c r="K19" s="73">
        <f>'Specialty (2)'!G62</f>
        <v>-1</v>
      </c>
      <c r="M19" s="70">
        <f>'Specialty (2)'!G69</f>
        <v>-2.866175857907732E-2</v>
      </c>
    </row>
    <row r="20" spans="1:13" x14ac:dyDescent="0.2">
      <c r="A20" s="10" t="s">
        <v>176</v>
      </c>
      <c r="B20" s="11" t="s">
        <v>173</v>
      </c>
      <c r="C20" s="70">
        <f>'Specialty (3)'!L59</f>
        <v>2.866175857907732E-2</v>
      </c>
      <c r="F20" s="70">
        <f>'Specialty (3)'!G61</f>
        <v>0</v>
      </c>
      <c r="H20" s="70">
        <f>'Specialty (3)'!G66</f>
        <v>-2.866175857907732E-2</v>
      </c>
      <c r="K20" s="73">
        <f>'Specialty (3)'!G62</f>
        <v>-1</v>
      </c>
      <c r="M20" s="70">
        <f>'Specialty (3)'!G69</f>
        <v>-2.866175857907732E-2</v>
      </c>
    </row>
    <row r="21" spans="1:13" x14ac:dyDescent="0.2">
      <c r="A21" s="10" t="s">
        <v>177</v>
      </c>
      <c r="B21" s="11" t="s">
        <v>173</v>
      </c>
      <c r="C21" s="70">
        <f>'Specialty (4)'!L59</f>
        <v>2.866175857907732E-2</v>
      </c>
      <c r="F21" s="70">
        <f>'Specialty (4)'!G61</f>
        <v>0</v>
      </c>
      <c r="H21" s="70">
        <f>'Specialty (4)'!G66</f>
        <v>-2.866175857907732E-2</v>
      </c>
      <c r="K21" s="73">
        <f>'Specialty (4)'!G62</f>
        <v>-1</v>
      </c>
      <c r="M21" s="70">
        <f>'Specialty (4)'!G69</f>
        <v>-2.866175857907732E-2</v>
      </c>
    </row>
    <row r="22" spans="1:13" x14ac:dyDescent="0.2">
      <c r="A22" s="10" t="s">
        <v>178</v>
      </c>
      <c r="B22" s="11" t="s">
        <v>173</v>
      </c>
      <c r="C22" s="70">
        <f>'Specialty (5)'!L59</f>
        <v>2.866175857907732E-2</v>
      </c>
      <c r="F22" s="70">
        <f>'Specialty (5)'!G61</f>
        <v>0</v>
      </c>
      <c r="H22" s="70">
        <f>'Specialty (5)'!G66</f>
        <v>-2.866175857907732E-2</v>
      </c>
      <c r="K22" s="73">
        <f>'Specialty (5)'!G62</f>
        <v>-1</v>
      </c>
      <c r="M22" s="70">
        <f>'Specialty (5)'!G69</f>
        <v>-2.866175857907732E-2</v>
      </c>
    </row>
    <row r="23" spans="1:13" x14ac:dyDescent="0.2">
      <c r="A23" s="10" t="s">
        <v>179</v>
      </c>
      <c r="B23" s="11" t="s">
        <v>173</v>
      </c>
      <c r="C23" s="70">
        <f>'Specialty (6)'!L59</f>
        <v>2.866175857907732E-2</v>
      </c>
      <c r="F23" s="70">
        <f>'Specialty (6)'!G61</f>
        <v>0</v>
      </c>
      <c r="H23" s="70">
        <f>'Specialty (6)'!G66</f>
        <v>-2.866175857907732E-2</v>
      </c>
      <c r="K23" s="73">
        <f>'Specialty (6)'!G62</f>
        <v>-1</v>
      </c>
      <c r="M23" s="70">
        <f>'Specialty (6)'!G69</f>
        <v>-2.866175857907732E-2</v>
      </c>
    </row>
    <row r="24" spans="1:13" x14ac:dyDescent="0.2">
      <c r="A24" s="10" t="s">
        <v>180</v>
      </c>
      <c r="B24" s="11"/>
      <c r="C24" s="70">
        <f>'Specialty (7)'!L59</f>
        <v>2.866175857907732E-2</v>
      </c>
      <c r="F24" s="70">
        <f>'Specialty (7)'!G61</f>
        <v>0</v>
      </c>
      <c r="H24" s="70">
        <f>'Specialty (7)'!G66</f>
        <v>-2.866175857907732E-2</v>
      </c>
      <c r="K24" s="73">
        <f>'Specialty (7)'!G62</f>
        <v>-1</v>
      </c>
      <c r="M24" s="70">
        <f>'Specialty (7)'!G69</f>
        <v>-2.866175857907732E-2</v>
      </c>
    </row>
    <row r="25" spans="1:13" x14ac:dyDescent="0.2">
      <c r="A25" s="10" t="s">
        <v>181</v>
      </c>
      <c r="B25" s="11"/>
      <c r="C25" s="70">
        <f>'Specialty (8)'!L59</f>
        <v>2.866175857907732E-2</v>
      </c>
      <c r="F25" s="70">
        <f>'Specialty (8)'!G61</f>
        <v>0</v>
      </c>
      <c r="H25" s="70">
        <f>'Specialty (8)'!G66</f>
        <v>-2.866175857907732E-2</v>
      </c>
      <c r="K25" s="73">
        <f>'Specialty (8)'!G62</f>
        <v>-1</v>
      </c>
      <c r="M25" s="70">
        <f>'Specialty (8)'!G69</f>
        <v>-2.866175857907732E-2</v>
      </c>
    </row>
    <row r="26" spans="1:13" x14ac:dyDescent="0.2">
      <c r="A26" s="10" t="s">
        <v>182</v>
      </c>
      <c r="B26" s="11"/>
      <c r="C26" s="70">
        <f>'Specialty (9)'!L59</f>
        <v>2.866175857907732E-2</v>
      </c>
      <c r="F26" s="70">
        <f>'Specialty (9)'!G61</f>
        <v>0</v>
      </c>
      <c r="H26" s="70">
        <f>'Specialty (9)'!G66</f>
        <v>-2.866175857907732E-2</v>
      </c>
      <c r="K26" s="73">
        <f>'Specialty (9)'!G62</f>
        <v>-1</v>
      </c>
      <c r="M26" s="70">
        <f>'Specialty (9)'!G69</f>
        <v>-2.866175857907732E-2</v>
      </c>
    </row>
    <row r="27" spans="1:13" x14ac:dyDescent="0.2">
      <c r="A27" s="10" t="s">
        <v>183</v>
      </c>
      <c r="B27" s="11"/>
      <c r="C27" s="70">
        <f>'Specialty (10)'!L59</f>
        <v>2.866175857907732E-2</v>
      </c>
      <c r="F27" s="70">
        <f>'Specialty (10)'!G61</f>
        <v>0</v>
      </c>
      <c r="H27" s="70">
        <f>'Specialty (10)'!G66</f>
        <v>-2.866175857907732E-2</v>
      </c>
      <c r="K27" s="73">
        <f>'Specialty (10)'!G62</f>
        <v>-1</v>
      </c>
      <c r="M27" s="70">
        <f>'Specialty (10)'!G69</f>
        <v>-2.866175857907732E-2</v>
      </c>
    </row>
    <row r="29" spans="1:13" ht="15" x14ac:dyDescent="0.35">
      <c r="A29" s="48" t="s">
        <v>167</v>
      </c>
      <c r="M29" s="84">
        <f>SUM(M7:M27)</f>
        <v>19308.3664116045</v>
      </c>
    </row>
    <row r="30" spans="1:13" x14ac:dyDescent="0.2">
      <c r="B30" s="87" t="s">
        <v>184</v>
      </c>
      <c r="C30" s="87"/>
      <c r="D30" s="87"/>
      <c r="F30" s="92"/>
    </row>
    <row r="31" spans="1:13" x14ac:dyDescent="0.2">
      <c r="B31" s="87" t="s">
        <v>45</v>
      </c>
      <c r="C31" s="87"/>
      <c r="D31" s="87"/>
    </row>
  </sheetData>
  <phoneticPr fontId="0" type="noConversion"/>
  <pageMargins left="0.75" right="0.75" top="1" bottom="1" header="0.5" footer="0.5"/>
  <pageSetup scale="85" orientation="landscape" horizontalDpi="360" verticalDpi="429496729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64C8A-E084-40E9-AE3A-A9FA300D9E95}">
  <sheetPr codeName="Sheet3"/>
  <dimension ref="A1:N79"/>
  <sheetViews>
    <sheetView zoomScaleNormal="100" workbookViewId="0">
      <selection activeCell="D68" sqref="D68"/>
    </sheetView>
  </sheetViews>
  <sheetFormatPr defaultColWidth="8.85546875" defaultRowHeight="12.75" x14ac:dyDescent="0.2"/>
  <cols>
    <col min="1" max="1" width="11.42578125" customWidth="1"/>
    <col min="2" max="2" width="8.85546875" customWidth="1"/>
    <col min="3" max="3" width="11.28515625" bestFit="1" customWidth="1"/>
    <col min="4" max="4" width="10.42578125" bestFit="1" customWidth="1"/>
    <col min="5" max="5" width="10" customWidth="1"/>
    <col min="6" max="6" width="8.85546875" customWidth="1"/>
    <col min="7" max="7" width="9.7109375" bestFit="1" customWidth="1"/>
    <col min="8" max="8" width="4.42578125" customWidth="1"/>
    <col min="9" max="10" width="8.85546875" customWidth="1"/>
    <col min="11" max="11" width="14" customWidth="1"/>
    <col min="12" max="12" width="13.42578125" customWidth="1"/>
  </cols>
  <sheetData>
    <row r="1" spans="1:14" ht="20.25" x14ac:dyDescent="0.3">
      <c r="A1" s="97">
        <f ca="1">TODAY()</f>
        <v>45810</v>
      </c>
      <c r="F1" s="1"/>
      <c r="K1" s="2" t="s">
        <v>118</v>
      </c>
    </row>
    <row r="2" spans="1:14" x14ac:dyDescent="0.2">
      <c r="E2" s="1"/>
    </row>
    <row r="3" spans="1:14" x14ac:dyDescent="0.2">
      <c r="A3" t="s">
        <v>51</v>
      </c>
      <c r="B3" s="3" t="str">
        <f>'Data Entry'!B6</f>
        <v xml:space="preserve"> </v>
      </c>
      <c r="C3" s="3"/>
      <c r="D3" s="3"/>
      <c r="E3" s="1"/>
      <c r="I3" s="4"/>
      <c r="K3" s="5" t="s">
        <v>52</v>
      </c>
      <c r="L3" s="6">
        <f>'Data Entry'!G21</f>
        <v>371</v>
      </c>
    </row>
    <row r="4" spans="1:14" x14ac:dyDescent="0.2">
      <c r="E4" s="1"/>
      <c r="K4" t="s">
        <v>53</v>
      </c>
    </row>
    <row r="5" spans="1:14" x14ac:dyDescent="0.2">
      <c r="E5" s="1"/>
      <c r="F5" s="4"/>
      <c r="M5" s="85"/>
      <c r="N5" s="49"/>
    </row>
    <row r="6" spans="1:14" x14ac:dyDescent="0.2">
      <c r="A6" s="8" t="s">
        <v>54</v>
      </c>
      <c r="B6" s="8" t="s">
        <v>145</v>
      </c>
      <c r="C6" s="4"/>
      <c r="D6" s="4"/>
      <c r="E6" s="9"/>
      <c r="L6" s="5"/>
      <c r="M6" s="10"/>
    </row>
    <row r="7" spans="1:14" x14ac:dyDescent="0.2">
      <c r="E7" s="1"/>
      <c r="L7" s="5"/>
      <c r="M7" s="10"/>
    </row>
    <row r="8" spans="1:14" x14ac:dyDescent="0.2">
      <c r="A8" s="11" t="s">
        <v>55</v>
      </c>
      <c r="D8" s="5" t="s">
        <v>56</v>
      </c>
      <c r="E8" s="1"/>
      <c r="L8" s="5" t="s">
        <v>140</v>
      </c>
    </row>
    <row r="9" spans="1:14" x14ac:dyDescent="0.2">
      <c r="A9" t="s">
        <v>57</v>
      </c>
      <c r="D9" s="12">
        <v>0</v>
      </c>
      <c r="E9" s="1"/>
      <c r="L9" s="64">
        <f>D9</f>
        <v>0</v>
      </c>
    </row>
    <row r="10" spans="1:14" x14ac:dyDescent="0.2">
      <c r="A10" t="s">
        <v>138</v>
      </c>
      <c r="D10" s="63">
        <v>0</v>
      </c>
      <c r="I10" s="10"/>
      <c r="L10" s="64">
        <f t="shared" ref="L10:L17" si="0">D10</f>
        <v>0</v>
      </c>
    </row>
    <row r="11" spans="1:14" x14ac:dyDescent="0.2">
      <c r="D11" s="12"/>
      <c r="E11" s="1"/>
      <c r="L11" s="64">
        <f>D11</f>
        <v>0</v>
      </c>
    </row>
    <row r="12" spans="1:14" x14ac:dyDescent="0.2">
      <c r="A12" t="s">
        <v>58</v>
      </c>
      <c r="D12" s="12">
        <v>0</v>
      </c>
      <c r="E12" s="71" t="s">
        <v>147</v>
      </c>
      <c r="F12" s="59"/>
      <c r="G12" s="59"/>
      <c r="H12" s="59"/>
      <c r="I12" s="59"/>
      <c r="L12" s="64">
        <f t="shared" si="0"/>
        <v>0</v>
      </c>
    </row>
    <row r="13" spans="1:14" x14ac:dyDescent="0.2">
      <c r="A13" t="s">
        <v>121</v>
      </c>
      <c r="D13" s="12">
        <v>0</v>
      </c>
      <c r="E13" s="1"/>
      <c r="L13" s="64">
        <f t="shared" si="0"/>
        <v>0</v>
      </c>
    </row>
    <row r="14" spans="1:14" x14ac:dyDescent="0.2">
      <c r="A14" t="s">
        <v>59</v>
      </c>
      <c r="D14" s="12">
        <v>0</v>
      </c>
      <c r="E14" s="1"/>
      <c r="L14" s="64">
        <f t="shared" si="0"/>
        <v>0</v>
      </c>
    </row>
    <row r="15" spans="1:14" x14ac:dyDescent="0.2">
      <c r="A15" s="13" t="s">
        <v>60</v>
      </c>
      <c r="D15" s="12">
        <v>0</v>
      </c>
      <c r="E15" s="1"/>
      <c r="L15" s="64">
        <f t="shared" si="0"/>
        <v>0</v>
      </c>
    </row>
    <row r="16" spans="1:14" x14ac:dyDescent="0.2">
      <c r="A16" s="13" t="s">
        <v>60</v>
      </c>
      <c r="D16" s="12">
        <v>0</v>
      </c>
      <c r="E16" s="1"/>
      <c r="L16" s="64">
        <f t="shared" si="0"/>
        <v>0</v>
      </c>
    </row>
    <row r="17" spans="1:13" x14ac:dyDescent="0.2">
      <c r="A17" s="13" t="s">
        <v>60</v>
      </c>
      <c r="D17" s="12">
        <v>0</v>
      </c>
      <c r="E17" s="1"/>
      <c r="L17" s="64">
        <f t="shared" si="0"/>
        <v>0</v>
      </c>
    </row>
    <row r="18" spans="1:13" x14ac:dyDescent="0.2">
      <c r="A18" s="14"/>
      <c r="D18" s="15"/>
      <c r="E18" s="1"/>
    </row>
    <row r="19" spans="1:13" x14ac:dyDescent="0.2">
      <c r="K19" s="11" t="s">
        <v>62</v>
      </c>
      <c r="L19" s="65">
        <f>SUM(L9:L17)</f>
        <v>0</v>
      </c>
    </row>
    <row r="20" spans="1:13" x14ac:dyDescent="0.2">
      <c r="A20" s="8" t="s">
        <v>61</v>
      </c>
      <c r="B20" s="8" t="s">
        <v>141</v>
      </c>
      <c r="C20" s="4"/>
      <c r="D20" s="4"/>
      <c r="E20" s="9"/>
      <c r="F20" s="4"/>
      <c r="G20" s="4"/>
      <c r="H20" s="4"/>
      <c r="I20" s="4"/>
      <c r="J20" s="4"/>
    </row>
    <row r="21" spans="1:13" x14ac:dyDescent="0.2">
      <c r="A21" s="11"/>
      <c r="B21" s="11"/>
      <c r="E21" s="1"/>
      <c r="M21" s="17"/>
    </row>
    <row r="22" spans="1:13" x14ac:dyDescent="0.2">
      <c r="A22" s="11" t="s">
        <v>55</v>
      </c>
      <c r="D22" s="5" t="s">
        <v>56</v>
      </c>
      <c r="E22" s="1"/>
      <c r="H22" s="11" t="s">
        <v>63</v>
      </c>
      <c r="L22" s="5" t="s">
        <v>140</v>
      </c>
    </row>
    <row r="23" spans="1:13" x14ac:dyDescent="0.2">
      <c r="A23" t="s">
        <v>64</v>
      </c>
      <c r="D23" s="16"/>
      <c r="E23" s="1"/>
    </row>
    <row r="24" spans="1:13" x14ac:dyDescent="0.2">
      <c r="A24" s="18" t="s">
        <v>146</v>
      </c>
      <c r="D24" s="12">
        <v>0</v>
      </c>
      <c r="E24" s="1"/>
      <c r="F24" t="s">
        <v>65</v>
      </c>
      <c r="H24" s="19">
        <v>4</v>
      </c>
      <c r="I24" t="s">
        <v>142</v>
      </c>
      <c r="L24" s="64">
        <f>D24/H24</f>
        <v>0</v>
      </c>
    </row>
    <row r="25" spans="1:13" x14ac:dyDescent="0.2">
      <c r="A25" t="s">
        <v>66</v>
      </c>
      <c r="D25" s="12">
        <v>0</v>
      </c>
      <c r="E25" s="1"/>
      <c r="F25" t="s">
        <v>65</v>
      </c>
      <c r="H25" s="19">
        <v>3</v>
      </c>
      <c r="I25" t="s">
        <v>142</v>
      </c>
      <c r="L25" s="64">
        <f>D25/H25</f>
        <v>0</v>
      </c>
    </row>
    <row r="26" spans="1:13" x14ac:dyDescent="0.2">
      <c r="A26" t="s">
        <v>150</v>
      </c>
      <c r="D26" s="12">
        <v>0</v>
      </c>
      <c r="E26" s="1"/>
      <c r="F26" t="s">
        <v>65</v>
      </c>
      <c r="H26" s="19">
        <v>2</v>
      </c>
      <c r="I26" t="s">
        <v>142</v>
      </c>
      <c r="L26" s="64">
        <f>D26/H26</f>
        <v>0</v>
      </c>
    </row>
    <row r="27" spans="1:13" x14ac:dyDescent="0.2">
      <c r="A27" t="s">
        <v>67</v>
      </c>
      <c r="D27" s="20">
        <v>0</v>
      </c>
      <c r="E27" s="1"/>
      <c r="F27" t="s">
        <v>65</v>
      </c>
      <c r="H27" s="19">
        <v>5</v>
      </c>
      <c r="I27" t="s">
        <v>142</v>
      </c>
      <c r="L27" s="64">
        <f>D27/H27</f>
        <v>0</v>
      </c>
    </row>
    <row r="28" spans="1:13" x14ac:dyDescent="0.2">
      <c r="A28" t="s">
        <v>144</v>
      </c>
      <c r="D28" s="63">
        <v>0</v>
      </c>
      <c r="H28" s="19">
        <v>5</v>
      </c>
      <c r="I28" t="s">
        <v>142</v>
      </c>
      <c r="L28" s="70">
        <f>SUM(D28/H28)</f>
        <v>0</v>
      </c>
    </row>
    <row r="29" spans="1:13" x14ac:dyDescent="0.2">
      <c r="A29" s="21" t="s">
        <v>60</v>
      </c>
      <c r="D29" s="20">
        <v>0</v>
      </c>
      <c r="E29" s="1"/>
      <c r="F29" t="s">
        <v>65</v>
      </c>
      <c r="H29" s="19">
        <v>1</v>
      </c>
      <c r="I29" t="s">
        <v>142</v>
      </c>
      <c r="L29" s="64">
        <f>D29/H29</f>
        <v>0</v>
      </c>
    </row>
    <row r="30" spans="1:13" x14ac:dyDescent="0.2">
      <c r="A30" s="21" t="s">
        <v>60</v>
      </c>
      <c r="D30" s="20">
        <v>0</v>
      </c>
      <c r="E30" s="1"/>
      <c r="F30" t="s">
        <v>65</v>
      </c>
      <c r="H30" s="19">
        <v>1</v>
      </c>
      <c r="I30" t="s">
        <v>142</v>
      </c>
      <c r="L30" s="64">
        <f>D30/H30</f>
        <v>0</v>
      </c>
    </row>
    <row r="31" spans="1:13" x14ac:dyDescent="0.2">
      <c r="A31" s="21" t="s">
        <v>60</v>
      </c>
      <c r="B31" s="21"/>
      <c r="D31" s="20">
        <v>0</v>
      </c>
      <c r="E31" s="1"/>
      <c r="F31" t="s">
        <v>65</v>
      </c>
      <c r="H31" s="19">
        <v>1</v>
      </c>
      <c r="I31" t="s">
        <v>142</v>
      </c>
      <c r="L31" s="64">
        <f>D31/H31</f>
        <v>0</v>
      </c>
    </row>
    <row r="32" spans="1:13" x14ac:dyDescent="0.2">
      <c r="D32" s="21"/>
      <c r="E32" s="1"/>
      <c r="L32" s="66"/>
    </row>
    <row r="33" spans="1:14" x14ac:dyDescent="0.2">
      <c r="E33" s="1"/>
      <c r="K33" s="51" t="s">
        <v>68</v>
      </c>
      <c r="L33" s="67">
        <f>SUM(L24:L30)</f>
        <v>0</v>
      </c>
    </row>
    <row r="34" spans="1:14" x14ac:dyDescent="0.2">
      <c r="A34" s="8" t="s">
        <v>69</v>
      </c>
      <c r="B34" s="8" t="s">
        <v>134</v>
      </c>
      <c r="C34" s="8"/>
      <c r="D34" s="8"/>
    </row>
    <row r="35" spans="1:14" x14ac:dyDescent="0.2">
      <c r="N35" s="68"/>
    </row>
    <row r="36" spans="1:14" x14ac:dyDescent="0.2">
      <c r="A36" s="11" t="s">
        <v>55</v>
      </c>
      <c r="D36" s="5" t="s">
        <v>56</v>
      </c>
      <c r="L36" s="5" t="s">
        <v>140</v>
      </c>
    </row>
    <row r="37" spans="1:14" x14ac:dyDescent="0.2">
      <c r="A37" t="s">
        <v>137</v>
      </c>
      <c r="D37" s="63">
        <v>3500</v>
      </c>
      <c r="L37" s="70">
        <f>SUM(D37*12)</f>
        <v>42000</v>
      </c>
    </row>
    <row r="38" spans="1:14" x14ac:dyDescent="0.2">
      <c r="A38" t="s">
        <v>125</v>
      </c>
      <c r="D38" s="63">
        <v>0</v>
      </c>
      <c r="E38" s="59" t="s">
        <v>156</v>
      </c>
      <c r="F38" s="59"/>
      <c r="G38" s="59"/>
      <c r="H38" s="59"/>
      <c r="I38" s="59"/>
      <c r="L38" s="70">
        <f>SUM(D38*12)</f>
        <v>0</v>
      </c>
    </row>
    <row r="39" spans="1:14" x14ac:dyDescent="0.2">
      <c r="A39" t="s">
        <v>126</v>
      </c>
      <c r="D39" s="66"/>
      <c r="L39" s="68"/>
    </row>
    <row r="40" spans="1:14" x14ac:dyDescent="0.2">
      <c r="B40" t="s">
        <v>127</v>
      </c>
      <c r="D40" s="63">
        <v>200</v>
      </c>
      <c r="L40" s="70">
        <f>SUM(D40*12)</f>
        <v>2400</v>
      </c>
    </row>
    <row r="41" spans="1:14" x14ac:dyDescent="0.2">
      <c r="B41" t="s">
        <v>128</v>
      </c>
      <c r="D41" s="63">
        <v>30</v>
      </c>
      <c r="L41" s="70">
        <f>SUM(D41*12)</f>
        <v>360</v>
      </c>
    </row>
    <row r="42" spans="1:14" x14ac:dyDescent="0.2">
      <c r="B42" t="s">
        <v>129</v>
      </c>
      <c r="D42" s="63">
        <v>175</v>
      </c>
      <c r="L42" s="70">
        <f>SUM(D42*12)</f>
        <v>2100</v>
      </c>
    </row>
    <row r="43" spans="1:14" x14ac:dyDescent="0.2">
      <c r="B43" t="s">
        <v>130</v>
      </c>
      <c r="D43" s="63">
        <v>100</v>
      </c>
      <c r="L43" s="70">
        <f>SUM(D43*12)</f>
        <v>1200</v>
      </c>
    </row>
    <row r="44" spans="1:14" x14ac:dyDescent="0.2">
      <c r="A44" t="s">
        <v>148</v>
      </c>
      <c r="D44" s="63">
        <v>50</v>
      </c>
      <c r="L44" s="70">
        <f>SUM(D44*12)</f>
        <v>600</v>
      </c>
    </row>
    <row r="45" spans="1:14" x14ac:dyDescent="0.2">
      <c r="A45" t="s">
        <v>131</v>
      </c>
      <c r="D45" s="66"/>
      <c r="L45" s="68"/>
    </row>
    <row r="46" spans="1:14" x14ac:dyDescent="0.2">
      <c r="B46" t="s">
        <v>132</v>
      </c>
      <c r="D46" s="63">
        <v>0</v>
      </c>
      <c r="L46" s="70">
        <f>SUM(D46*12)</f>
        <v>0</v>
      </c>
    </row>
    <row r="47" spans="1:14" x14ac:dyDescent="0.2">
      <c r="B47" t="s">
        <v>133</v>
      </c>
      <c r="D47" s="63">
        <v>0</v>
      </c>
      <c r="L47" s="70">
        <f>SUM(D47*12)</f>
        <v>0</v>
      </c>
    </row>
    <row r="48" spans="1:14" x14ac:dyDescent="0.2">
      <c r="A48" t="s">
        <v>149</v>
      </c>
      <c r="D48" s="63">
        <v>50</v>
      </c>
      <c r="L48" s="70">
        <f>SUM(D48*12)</f>
        <v>600</v>
      </c>
    </row>
    <row r="49" spans="1:13" x14ac:dyDescent="0.2">
      <c r="A49" t="s">
        <v>135</v>
      </c>
      <c r="D49" s="66"/>
      <c r="L49" s="68"/>
    </row>
    <row r="50" spans="1:13" x14ac:dyDescent="0.2">
      <c r="B50" t="s">
        <v>136</v>
      </c>
      <c r="D50" s="63">
        <v>0</v>
      </c>
      <c r="L50" s="70">
        <f t="shared" ref="L50:L57" si="1">SUM(D50*12)</f>
        <v>0</v>
      </c>
    </row>
    <row r="51" spans="1:13" x14ac:dyDescent="0.2">
      <c r="B51" t="s">
        <v>130</v>
      </c>
      <c r="D51" s="63">
        <v>0</v>
      </c>
      <c r="L51" s="70">
        <f t="shared" si="1"/>
        <v>0</v>
      </c>
    </row>
    <row r="52" spans="1:13" x14ac:dyDescent="0.2">
      <c r="B52" t="s">
        <v>133</v>
      </c>
      <c r="D52" s="63">
        <v>0</v>
      </c>
      <c r="L52" s="70">
        <f t="shared" si="1"/>
        <v>0</v>
      </c>
    </row>
    <row r="53" spans="1:13" x14ac:dyDescent="0.2">
      <c r="B53" t="s">
        <v>151</v>
      </c>
      <c r="D53" s="72">
        <v>0</v>
      </c>
      <c r="L53" s="70">
        <f t="shared" si="1"/>
        <v>0</v>
      </c>
    </row>
    <row r="54" spans="1:13" x14ac:dyDescent="0.2">
      <c r="A54" t="s">
        <v>139</v>
      </c>
      <c r="D54" s="63">
        <v>150</v>
      </c>
      <c r="L54" s="70">
        <f t="shared" si="1"/>
        <v>1800</v>
      </c>
    </row>
    <row r="55" spans="1:13" x14ac:dyDescent="0.2">
      <c r="A55" s="21" t="s">
        <v>155</v>
      </c>
      <c r="B55" s="21"/>
      <c r="C55" s="21"/>
      <c r="D55" s="63">
        <v>0</v>
      </c>
      <c r="L55" s="70">
        <f t="shared" si="1"/>
        <v>0</v>
      </c>
    </row>
    <row r="56" spans="1:13" x14ac:dyDescent="0.2">
      <c r="A56" s="21" t="s">
        <v>115</v>
      </c>
      <c r="B56" s="21"/>
      <c r="C56" s="21"/>
      <c r="D56" s="63"/>
      <c r="L56" s="70">
        <f t="shared" si="1"/>
        <v>0</v>
      </c>
    </row>
    <row r="57" spans="1:13" x14ac:dyDescent="0.2">
      <c r="A57" s="21" t="s">
        <v>60</v>
      </c>
      <c r="B57" s="21"/>
      <c r="C57" s="21"/>
      <c r="D57" s="63"/>
      <c r="L57" s="70">
        <f t="shared" si="1"/>
        <v>0</v>
      </c>
    </row>
    <row r="58" spans="1:13" x14ac:dyDescent="0.2">
      <c r="F58" s="93"/>
      <c r="K58" s="11" t="s">
        <v>68</v>
      </c>
      <c r="L58" s="69">
        <f>SUM(L37:L57)</f>
        <v>51060</v>
      </c>
    </row>
    <row r="60" spans="1:13" x14ac:dyDescent="0.2">
      <c r="K60" s="5" t="s">
        <v>40</v>
      </c>
      <c r="L60" s="67">
        <f>SUM(L58,L33,L19)</f>
        <v>51060</v>
      </c>
    </row>
    <row r="61" spans="1:13" x14ac:dyDescent="0.2">
      <c r="I61" s="51"/>
      <c r="K61" s="5" t="s">
        <v>41</v>
      </c>
      <c r="L61" s="67">
        <f>SUM(L60/12)</f>
        <v>4255</v>
      </c>
    </row>
    <row r="62" spans="1:13" x14ac:dyDescent="0.2">
      <c r="A62" s="8" t="s">
        <v>73</v>
      </c>
      <c r="B62" s="8" t="s">
        <v>143</v>
      </c>
      <c r="C62" s="8"/>
      <c r="D62" s="8"/>
      <c r="E62" s="8"/>
    </row>
    <row r="63" spans="1:13" x14ac:dyDescent="0.2">
      <c r="M63" s="10"/>
    </row>
    <row r="64" spans="1:13" x14ac:dyDescent="0.2">
      <c r="A64" s="73">
        <f>'Data Entry'!A11</f>
        <v>0.717439293598234</v>
      </c>
      <c r="B64" s="62" t="s">
        <v>29</v>
      </c>
    </row>
    <row r="65" spans="1:13" x14ac:dyDescent="0.2">
      <c r="A65" s="73">
        <f>'Data Entry'!A12</f>
        <v>0.18101545253863136</v>
      </c>
      <c r="B65" s="62" t="s">
        <v>20</v>
      </c>
      <c r="C65" s="54"/>
      <c r="D65" s="54"/>
      <c r="E65" s="54"/>
      <c r="F65" s="54"/>
      <c r="G65" s="54"/>
    </row>
    <row r="66" spans="1:13" x14ac:dyDescent="0.2">
      <c r="A66" s="73">
        <f>'Data Entry'!A13</f>
        <v>7.7262693156732898E-2</v>
      </c>
      <c r="B66" s="62" t="s">
        <v>30</v>
      </c>
      <c r="K66" s="5" t="s">
        <v>38</v>
      </c>
      <c r="L66" s="22">
        <f>SUM(L60*A66)/L3</f>
        <v>10.633512432837685</v>
      </c>
    </row>
    <row r="67" spans="1:13" x14ac:dyDescent="0.2">
      <c r="A67" s="73">
        <f>'Data Entry'!A14</f>
        <v>1.434878587196468E-2</v>
      </c>
      <c r="B67" s="62" t="s">
        <v>19</v>
      </c>
      <c r="C67" s="53"/>
      <c r="D67" s="53"/>
      <c r="E67" s="53"/>
      <c r="F67" s="53"/>
      <c r="G67" s="53"/>
    </row>
    <row r="68" spans="1:13" x14ac:dyDescent="0.2">
      <c r="A68" s="73">
        <f>'Data Entry'!A15</f>
        <v>9.9337748344370865E-3</v>
      </c>
      <c r="B68" s="62" t="s">
        <v>21</v>
      </c>
    </row>
    <row r="71" spans="1:13" x14ac:dyDescent="0.2">
      <c r="C71" s="55"/>
      <c r="D71" s="53"/>
      <c r="E71" s="53"/>
      <c r="F71" s="53"/>
      <c r="G71" s="53"/>
    </row>
    <row r="72" spans="1:13" x14ac:dyDescent="0.2">
      <c r="M72" s="10"/>
    </row>
    <row r="79" spans="1:13" x14ac:dyDescent="0.2">
      <c r="M79" s="10"/>
    </row>
  </sheetData>
  <phoneticPr fontId="0" type="noConversion"/>
  <pageMargins left="0.75" right="0.75" top="1" bottom="1" header="0.5" footer="0.5"/>
  <pageSetup scale="70" orientation="portrait" horizontalDpi="360" verticalDpi="4294967293"/>
  <headerFooter alignWithMargins="0"/>
  <rowBreaks count="1" manualBreakCount="1">
    <brk id="70" max="11" man="1"/>
  </rowBreaks>
  <colBreaks count="1" manualBreakCount="1">
    <brk id="12" max="8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2987E-71CE-4452-B76B-76106F9585EF}">
  <sheetPr codeName="Sheet5"/>
  <dimension ref="A1:O78"/>
  <sheetViews>
    <sheetView zoomScaleNormal="100" zoomScaleSheetLayoutView="70" workbookViewId="0">
      <selection activeCell="E5" sqref="E5"/>
    </sheetView>
  </sheetViews>
  <sheetFormatPr defaultColWidth="8.85546875" defaultRowHeight="12.75" x14ac:dyDescent="0.2"/>
  <cols>
    <col min="1" max="1" width="19.42578125" customWidth="1"/>
    <col min="2" max="2" width="13.42578125" customWidth="1"/>
    <col min="3" max="5" width="8.85546875" customWidth="1"/>
    <col min="6" max="6" width="10.7109375" customWidth="1"/>
    <col min="7" max="7" width="13.7109375" customWidth="1"/>
    <col min="8" max="8" width="11.42578125" customWidth="1"/>
    <col min="9" max="9" width="8.85546875" customWidth="1"/>
    <col min="10" max="10" width="11.85546875" customWidth="1"/>
    <col min="11" max="11" width="16" customWidth="1"/>
    <col min="12" max="12" width="13" customWidth="1"/>
    <col min="13" max="13" width="8.85546875" customWidth="1"/>
    <col min="14" max="14" width="25.140625" customWidth="1"/>
  </cols>
  <sheetData>
    <row r="1" spans="1:15" x14ac:dyDescent="0.2">
      <c r="A1" s="21"/>
    </row>
    <row r="2" spans="1:15" ht="20.25" x14ac:dyDescent="0.3">
      <c r="A2" s="96">
        <f ca="1">TODAY()</f>
        <v>45810</v>
      </c>
      <c r="J2" s="2" t="s">
        <v>120</v>
      </c>
    </row>
    <row r="3" spans="1:15" x14ac:dyDescent="0.2">
      <c r="A3" s="95"/>
    </row>
    <row r="5" spans="1:15" x14ac:dyDescent="0.2">
      <c r="A5" s="11" t="s">
        <v>9</v>
      </c>
      <c r="B5" s="11"/>
      <c r="C5" s="3" t="str">
        <f>'Data Entry'!E10</f>
        <v>Open Water</v>
      </c>
      <c r="D5" s="3"/>
    </row>
    <row r="6" spans="1:15" x14ac:dyDescent="0.2">
      <c r="E6" s="1"/>
      <c r="I6" s="5"/>
      <c r="J6" s="23"/>
      <c r="K6" s="49"/>
      <c r="O6" s="7"/>
    </row>
    <row r="7" spans="1:15" x14ac:dyDescent="0.2">
      <c r="E7" s="1"/>
      <c r="I7" s="5"/>
      <c r="J7" s="23"/>
    </row>
    <row r="8" spans="1:15" x14ac:dyDescent="0.2">
      <c r="A8" s="8" t="s">
        <v>99</v>
      </c>
      <c r="B8" s="8" t="s">
        <v>70</v>
      </c>
      <c r="C8" s="8"/>
      <c r="D8" s="8"/>
      <c r="E8" s="24"/>
      <c r="I8" s="5"/>
      <c r="J8" s="23"/>
    </row>
    <row r="9" spans="1:15" x14ac:dyDescent="0.2">
      <c r="A9" s="8"/>
      <c r="B9" s="8"/>
      <c r="C9" s="8"/>
      <c r="D9" s="8"/>
      <c r="E9" s="24"/>
      <c r="I9" s="5"/>
      <c r="J9" s="23"/>
    </row>
    <row r="10" spans="1:15" x14ac:dyDescent="0.2">
      <c r="A10" s="25" t="s">
        <v>106</v>
      </c>
      <c r="B10" s="4"/>
      <c r="C10" s="4"/>
      <c r="E10" s="24"/>
      <c r="G10" s="26" t="s">
        <v>10</v>
      </c>
      <c r="H10" s="5"/>
      <c r="I10" s="23"/>
      <c r="J10" s="5" t="s">
        <v>52</v>
      </c>
      <c r="K10" s="3">
        <f>'Data Entry'!G21</f>
        <v>371</v>
      </c>
    </row>
    <row r="11" spans="1:15" x14ac:dyDescent="0.2">
      <c r="A11" s="27" t="s">
        <v>71</v>
      </c>
      <c r="B11" s="25"/>
      <c r="C11" s="25"/>
      <c r="E11" s="24"/>
      <c r="G11" s="50">
        <f>'Data Entry'!G10</f>
        <v>215</v>
      </c>
      <c r="H11" s="5"/>
      <c r="I11" s="23"/>
    </row>
    <row r="12" spans="1:15" x14ac:dyDescent="0.2">
      <c r="A12" s="27" t="s">
        <v>72</v>
      </c>
      <c r="B12" s="25"/>
      <c r="C12" s="25"/>
      <c r="E12" s="1"/>
      <c r="G12" s="28">
        <v>6</v>
      </c>
      <c r="J12" s="5"/>
      <c r="K12" s="23"/>
    </row>
    <row r="13" spans="1:15" x14ac:dyDescent="0.2">
      <c r="A13" s="27"/>
      <c r="B13" s="25"/>
      <c r="C13" s="25"/>
      <c r="D13" s="29"/>
      <c r="E13" s="1"/>
      <c r="J13" s="5"/>
      <c r="K13" s="23"/>
    </row>
    <row r="14" spans="1:15" x14ac:dyDescent="0.2">
      <c r="A14" s="8" t="s">
        <v>100</v>
      </c>
      <c r="B14" s="8" t="s">
        <v>74</v>
      </c>
      <c r="C14" s="4"/>
      <c r="D14" s="4"/>
      <c r="E14" s="9"/>
    </row>
    <row r="15" spans="1:15" x14ac:dyDescent="0.2">
      <c r="A15" s="11"/>
      <c r="B15" s="11"/>
      <c r="E15" s="1"/>
    </row>
    <row r="16" spans="1:15" x14ac:dyDescent="0.2">
      <c r="A16" s="11" t="s">
        <v>55</v>
      </c>
      <c r="E16" s="1"/>
      <c r="G16" s="5" t="s">
        <v>56</v>
      </c>
    </row>
    <row r="17" spans="1:11" x14ac:dyDescent="0.2">
      <c r="A17" t="s">
        <v>75</v>
      </c>
      <c r="E17" s="1"/>
      <c r="G17" s="30">
        <v>0</v>
      </c>
      <c r="H17" t="s">
        <v>76</v>
      </c>
      <c r="K17" s="31">
        <f t="shared" ref="K17:K26" si="0">G17</f>
        <v>0</v>
      </c>
    </row>
    <row r="18" spans="1:11" x14ac:dyDescent="0.2">
      <c r="A18" t="s">
        <v>77</v>
      </c>
      <c r="E18" s="1"/>
      <c r="G18" s="30">
        <v>1.5</v>
      </c>
      <c r="H18" t="s">
        <v>76</v>
      </c>
      <c r="K18" s="31">
        <f t="shared" si="0"/>
        <v>1.5</v>
      </c>
    </row>
    <row r="19" spans="1:11" x14ac:dyDescent="0.2">
      <c r="A19" t="s">
        <v>78</v>
      </c>
      <c r="E19" s="1"/>
      <c r="G19" s="127">
        <v>3</v>
      </c>
      <c r="H19" t="s">
        <v>76</v>
      </c>
      <c r="K19" s="31">
        <f t="shared" si="0"/>
        <v>3</v>
      </c>
    </row>
    <row r="20" spans="1:11" x14ac:dyDescent="0.2">
      <c r="A20" t="s">
        <v>79</v>
      </c>
      <c r="E20" s="1"/>
      <c r="G20" s="30">
        <v>0</v>
      </c>
      <c r="H20" t="s">
        <v>76</v>
      </c>
      <c r="K20" s="31">
        <f t="shared" si="0"/>
        <v>0</v>
      </c>
    </row>
    <row r="21" spans="1:11" x14ac:dyDescent="0.2">
      <c r="A21" t="s">
        <v>80</v>
      </c>
      <c r="E21" s="1"/>
      <c r="G21" s="30">
        <v>5</v>
      </c>
      <c r="H21" t="s">
        <v>76</v>
      </c>
      <c r="K21" s="31">
        <f t="shared" si="0"/>
        <v>5</v>
      </c>
    </row>
    <row r="22" spans="1:11" x14ac:dyDescent="0.2">
      <c r="A22" t="s">
        <v>81</v>
      </c>
      <c r="E22" s="1"/>
      <c r="G22" s="30">
        <v>0</v>
      </c>
      <c r="H22" t="s">
        <v>76</v>
      </c>
      <c r="K22" s="31">
        <f t="shared" si="0"/>
        <v>0</v>
      </c>
    </row>
    <row r="23" spans="1:11" x14ac:dyDescent="0.2">
      <c r="A23" t="s">
        <v>82</v>
      </c>
      <c r="E23" s="1"/>
      <c r="G23" s="30">
        <v>8</v>
      </c>
      <c r="H23" t="s">
        <v>76</v>
      </c>
      <c r="K23" s="31">
        <f t="shared" si="0"/>
        <v>8</v>
      </c>
    </row>
    <row r="24" spans="1:11" x14ac:dyDescent="0.2">
      <c r="A24" s="13" t="s">
        <v>60</v>
      </c>
      <c r="E24" s="1"/>
      <c r="G24" s="30">
        <v>30</v>
      </c>
      <c r="H24" t="s">
        <v>76</v>
      </c>
      <c r="K24" s="31">
        <f t="shared" si="0"/>
        <v>30</v>
      </c>
    </row>
    <row r="25" spans="1:11" x14ac:dyDescent="0.2">
      <c r="A25" s="13" t="s">
        <v>60</v>
      </c>
      <c r="E25" s="1"/>
      <c r="G25" s="30">
        <v>0</v>
      </c>
      <c r="H25" t="s">
        <v>76</v>
      </c>
      <c r="K25" s="31">
        <f t="shared" si="0"/>
        <v>0</v>
      </c>
    </row>
    <row r="26" spans="1:11" x14ac:dyDescent="0.2">
      <c r="A26" s="13" t="s">
        <v>60</v>
      </c>
      <c r="E26" s="1"/>
      <c r="G26" s="30">
        <v>0</v>
      </c>
      <c r="H26" t="s">
        <v>76</v>
      </c>
      <c r="K26" s="31">
        <f t="shared" si="0"/>
        <v>0</v>
      </c>
    </row>
    <row r="27" spans="1:11" x14ac:dyDescent="0.2">
      <c r="E27" s="1"/>
      <c r="G27" s="1"/>
      <c r="J27" s="5" t="s">
        <v>83</v>
      </c>
      <c r="K27" s="33">
        <f>SUM(K17:K26)</f>
        <v>47.5</v>
      </c>
    </row>
    <row r="28" spans="1:11" x14ac:dyDescent="0.2">
      <c r="A28" s="11"/>
      <c r="B28" s="11"/>
      <c r="E28" s="1"/>
      <c r="K28" s="1"/>
    </row>
    <row r="29" spans="1:11" x14ac:dyDescent="0.2">
      <c r="A29" s="11" t="s">
        <v>55</v>
      </c>
      <c r="E29" s="1"/>
      <c r="G29" s="5" t="s">
        <v>56</v>
      </c>
    </row>
    <row r="30" spans="1:11" x14ac:dyDescent="0.2">
      <c r="A30" t="s">
        <v>84</v>
      </c>
      <c r="E30" s="1"/>
      <c r="G30" s="30">
        <v>0</v>
      </c>
      <c r="H30" t="s">
        <v>85</v>
      </c>
      <c r="K30" s="31">
        <f>G30/$G$12</f>
        <v>0</v>
      </c>
    </row>
    <row r="31" spans="1:11" x14ac:dyDescent="0.2">
      <c r="B31" t="s">
        <v>27</v>
      </c>
      <c r="D31" s="34"/>
      <c r="E31" s="35"/>
      <c r="G31" s="38"/>
      <c r="K31" s="39"/>
    </row>
    <row r="32" spans="1:11" x14ac:dyDescent="0.2">
      <c r="E32" s="59" t="s">
        <v>24</v>
      </c>
    </row>
    <row r="33" spans="1:11" x14ac:dyDescent="0.2">
      <c r="B33" t="s">
        <v>22</v>
      </c>
      <c r="E33" s="21">
        <v>15</v>
      </c>
      <c r="G33" s="56">
        <v>25</v>
      </c>
      <c r="H33" t="s">
        <v>85</v>
      </c>
      <c r="K33" s="57">
        <f>SUM(E33*G33)/G12</f>
        <v>62.5</v>
      </c>
    </row>
    <row r="34" spans="1:11" x14ac:dyDescent="0.2">
      <c r="E34" s="59" t="s">
        <v>25</v>
      </c>
    </row>
    <row r="35" spans="1:11" x14ac:dyDescent="0.2">
      <c r="B35" s="58" t="s">
        <v>23</v>
      </c>
      <c r="E35" s="21">
        <v>1</v>
      </c>
      <c r="F35" t="s">
        <v>173</v>
      </c>
      <c r="G35" s="56">
        <v>0</v>
      </c>
      <c r="H35" t="s">
        <v>85</v>
      </c>
      <c r="K35" s="57">
        <f>SUM((E35*G35)/G12)</f>
        <v>0</v>
      </c>
    </row>
    <row r="36" spans="1:11" x14ac:dyDescent="0.2">
      <c r="E36" s="59"/>
    </row>
    <row r="37" spans="1:11" x14ac:dyDescent="0.2">
      <c r="A37" s="10"/>
      <c r="B37" s="10" t="s">
        <v>26</v>
      </c>
      <c r="C37" s="60"/>
      <c r="E37" s="10"/>
      <c r="G37" s="56">
        <v>0</v>
      </c>
      <c r="H37" t="s">
        <v>85</v>
      </c>
      <c r="K37" s="57">
        <f>G37</f>
        <v>0</v>
      </c>
    </row>
    <row r="38" spans="1:11" x14ac:dyDescent="0.2">
      <c r="A38" s="10"/>
      <c r="B38" s="10"/>
      <c r="C38" s="61"/>
    </row>
    <row r="39" spans="1:11" x14ac:dyDescent="0.2">
      <c r="A39" t="s">
        <v>87</v>
      </c>
      <c r="E39" s="36" t="s">
        <v>88</v>
      </c>
    </row>
    <row r="40" spans="1:11" x14ac:dyDescent="0.2">
      <c r="E40" s="19">
        <v>10</v>
      </c>
      <c r="G40" s="90">
        <v>1.5</v>
      </c>
      <c r="H40" t="s">
        <v>89</v>
      </c>
      <c r="K40" s="31">
        <f>SUM(E40*G40)</f>
        <v>15</v>
      </c>
    </row>
    <row r="41" spans="1:11" x14ac:dyDescent="0.2">
      <c r="A41" t="s">
        <v>50</v>
      </c>
      <c r="D41" s="37" t="s">
        <v>90</v>
      </c>
      <c r="E41" s="37" t="s">
        <v>91</v>
      </c>
      <c r="G41" s="38"/>
      <c r="H41" s="10"/>
      <c r="I41" s="10"/>
      <c r="J41" s="10"/>
      <c r="K41" s="39"/>
    </row>
    <row r="42" spans="1:11" x14ac:dyDescent="0.2">
      <c r="B42" t="s">
        <v>92</v>
      </c>
      <c r="D42" s="19">
        <v>30</v>
      </c>
      <c r="E42" s="19">
        <v>30</v>
      </c>
      <c r="G42" s="99">
        <f>SUM(D42+E42)*G12</f>
        <v>360</v>
      </c>
      <c r="H42" t="s">
        <v>85</v>
      </c>
      <c r="K42" s="41">
        <f>SUM(G42/G12)</f>
        <v>60</v>
      </c>
    </row>
    <row r="43" spans="1:11" x14ac:dyDescent="0.2">
      <c r="A43" t="s">
        <v>93</v>
      </c>
      <c r="E43" s="98"/>
      <c r="G43" s="30">
        <v>20</v>
      </c>
      <c r="H43" t="s">
        <v>85</v>
      </c>
      <c r="K43" s="31">
        <f>G43/$G$12</f>
        <v>3.3333333333333335</v>
      </c>
    </row>
    <row r="44" spans="1:11" x14ac:dyDescent="0.2">
      <c r="A44" t="s">
        <v>94</v>
      </c>
      <c r="E44" s="1"/>
      <c r="G44" s="30">
        <v>0</v>
      </c>
      <c r="H44" t="s">
        <v>85</v>
      </c>
      <c r="K44" s="31">
        <f>G44/$G$12</f>
        <v>0</v>
      </c>
    </row>
    <row r="45" spans="1:11" x14ac:dyDescent="0.2">
      <c r="A45" t="s">
        <v>95</v>
      </c>
      <c r="E45" s="1"/>
      <c r="G45" s="90">
        <v>0</v>
      </c>
      <c r="H45" t="s">
        <v>85</v>
      </c>
      <c r="K45" s="31">
        <f>G45/$G$12</f>
        <v>0</v>
      </c>
    </row>
    <row r="46" spans="1:11" x14ac:dyDescent="0.2">
      <c r="A46" t="s">
        <v>96</v>
      </c>
      <c r="E46" s="1"/>
      <c r="G46" s="30">
        <v>0</v>
      </c>
      <c r="H46" t="s">
        <v>85</v>
      </c>
      <c r="K46" s="31">
        <f>G46/$G$12</f>
        <v>0</v>
      </c>
    </row>
    <row r="47" spans="1:11" x14ac:dyDescent="0.2">
      <c r="A47" t="s">
        <v>97</v>
      </c>
      <c r="E47" s="37" t="s">
        <v>98</v>
      </c>
      <c r="G47" s="21"/>
    </row>
    <row r="48" spans="1:11" x14ac:dyDescent="0.2">
      <c r="E48" s="19">
        <v>1</v>
      </c>
      <c r="G48" s="42">
        <v>0</v>
      </c>
      <c r="H48" t="s">
        <v>85</v>
      </c>
      <c r="K48" s="40">
        <f>SUM(G48/E48)/G12</f>
        <v>0</v>
      </c>
    </row>
    <row r="49" spans="1:11" x14ac:dyDescent="0.2">
      <c r="A49" s="13" t="s">
        <v>60</v>
      </c>
      <c r="E49" s="1"/>
      <c r="G49" s="30">
        <v>0</v>
      </c>
      <c r="H49" t="s">
        <v>85</v>
      </c>
      <c r="K49" s="31">
        <f>G49/$G$12</f>
        <v>0</v>
      </c>
    </row>
    <row r="50" spans="1:11" x14ac:dyDescent="0.2">
      <c r="A50" s="13" t="s">
        <v>60</v>
      </c>
      <c r="E50" s="1"/>
      <c r="G50" s="30">
        <v>0</v>
      </c>
      <c r="H50" t="s">
        <v>85</v>
      </c>
      <c r="K50" s="31">
        <f>G50/$G$12</f>
        <v>0</v>
      </c>
    </row>
    <row r="51" spans="1:11" x14ac:dyDescent="0.2">
      <c r="A51" s="13" t="s">
        <v>60</v>
      </c>
      <c r="E51" s="1"/>
      <c r="G51" s="30">
        <v>0</v>
      </c>
      <c r="H51" t="s">
        <v>85</v>
      </c>
      <c r="K51" s="31">
        <f>G51/$G$12</f>
        <v>0</v>
      </c>
    </row>
    <row r="52" spans="1:11" x14ac:dyDescent="0.2">
      <c r="E52" s="1"/>
      <c r="G52" s="1"/>
      <c r="H52" s="5" t="s">
        <v>83</v>
      </c>
      <c r="K52" s="33">
        <f>SUM(K30:K51)</f>
        <v>140.83333333333334</v>
      </c>
    </row>
    <row r="53" spans="1:11" x14ac:dyDescent="0.2">
      <c r="E53" s="1"/>
      <c r="K53" s="43"/>
    </row>
    <row r="54" spans="1:11" x14ac:dyDescent="0.2">
      <c r="E54" s="1"/>
      <c r="G54" s="1"/>
      <c r="J54" s="5" t="s">
        <v>43</v>
      </c>
      <c r="K54" s="33">
        <f>K27+K52</f>
        <v>188.33333333333334</v>
      </c>
    </row>
    <row r="55" spans="1:11" x14ac:dyDescent="0.2">
      <c r="E55" s="1"/>
    </row>
    <row r="56" spans="1:11" x14ac:dyDescent="0.2">
      <c r="A56" s="44" t="s">
        <v>14</v>
      </c>
      <c r="B56" s="8" t="s">
        <v>16</v>
      </c>
      <c r="C56" s="4"/>
      <c r="E56" s="1"/>
      <c r="G56" s="45">
        <v>0.5</v>
      </c>
    </row>
    <row r="57" spans="1:11" x14ac:dyDescent="0.2">
      <c r="E57" s="1"/>
    </row>
    <row r="58" spans="1:11" x14ac:dyDescent="0.2">
      <c r="A58" s="8" t="s">
        <v>157</v>
      </c>
      <c r="B58" s="8" t="s">
        <v>101</v>
      </c>
      <c r="C58" s="8"/>
      <c r="D58" s="8"/>
      <c r="E58" s="24"/>
      <c r="F58" s="11"/>
      <c r="G58" s="11"/>
    </row>
    <row r="59" spans="1:11" x14ac:dyDescent="0.2">
      <c r="E59" s="1"/>
      <c r="I59" s="11" t="s">
        <v>39</v>
      </c>
      <c r="K59" s="33">
        <f>' Fixed Expenses'!L66</f>
        <v>10.633512432837685</v>
      </c>
    </row>
    <row r="60" spans="1:11" x14ac:dyDescent="0.2">
      <c r="E60" s="1"/>
    </row>
    <row r="61" spans="1:11" x14ac:dyDescent="0.2">
      <c r="C61" s="5" t="s">
        <v>42</v>
      </c>
      <c r="D61" s="33">
        <f>SUM(K59*G62)</f>
        <v>6.1622780945016231</v>
      </c>
      <c r="E61" s="1"/>
      <c r="H61" s="1"/>
      <c r="I61" s="1"/>
      <c r="J61" s="5" t="s">
        <v>102</v>
      </c>
      <c r="K61" s="33">
        <f>D63</f>
        <v>194.49561142783497</v>
      </c>
    </row>
    <row r="62" spans="1:11" x14ac:dyDescent="0.2">
      <c r="C62" s="5" t="s">
        <v>43</v>
      </c>
      <c r="D62" s="33">
        <f>K54</f>
        <v>188.33333333333334</v>
      </c>
      <c r="E62" s="8" t="s">
        <v>161</v>
      </c>
      <c r="G62" s="46">
        <f>SUM(G11/' Fixed Expenses'!L3)</f>
        <v>0.57951482479784366</v>
      </c>
      <c r="H62" s="1"/>
      <c r="I62" s="1"/>
      <c r="J62" s="5" t="s">
        <v>104</v>
      </c>
      <c r="K62" s="33">
        <f>K61*G56</f>
        <v>97.247805713917487</v>
      </c>
    </row>
    <row r="63" spans="1:11" x14ac:dyDescent="0.2">
      <c r="C63" s="5" t="s">
        <v>102</v>
      </c>
      <c r="D63" s="33">
        <f>D61+D62</f>
        <v>194.49561142783497</v>
      </c>
      <c r="E63" s="1"/>
      <c r="H63" s="1"/>
      <c r="I63" s="1"/>
      <c r="J63" s="5" t="s">
        <v>105</v>
      </c>
      <c r="K63" s="33">
        <f>K61+K62</f>
        <v>291.74341714175245</v>
      </c>
    </row>
    <row r="64" spans="1:11" x14ac:dyDescent="0.2">
      <c r="E64" s="1"/>
    </row>
    <row r="65" spans="1:11" x14ac:dyDescent="0.2">
      <c r="E65" s="1"/>
    </row>
    <row r="66" spans="1:11" x14ac:dyDescent="0.2">
      <c r="A66" s="8" t="s">
        <v>163</v>
      </c>
      <c r="B66" s="8" t="s">
        <v>15</v>
      </c>
      <c r="C66" s="8"/>
      <c r="D66" s="8"/>
    </row>
    <row r="68" spans="1:11" x14ac:dyDescent="0.2">
      <c r="I68" s="76"/>
      <c r="J68" s="5" t="s">
        <v>17</v>
      </c>
      <c r="K68" s="52">
        <f>K61</f>
        <v>194.49561142783497</v>
      </c>
    </row>
    <row r="70" spans="1:11" x14ac:dyDescent="0.2">
      <c r="E70" s="51" t="s">
        <v>165</v>
      </c>
      <c r="F70" s="51"/>
      <c r="G70" s="80">
        <v>300</v>
      </c>
      <c r="H70" s="91" t="s">
        <v>35</v>
      </c>
      <c r="I70" s="91"/>
    </row>
    <row r="71" spans="1:11" x14ac:dyDescent="0.2">
      <c r="F71" s="5" t="s">
        <v>162</v>
      </c>
      <c r="G71" s="79">
        <f>SUM(K71/K68)</f>
        <v>0.54245125531437011</v>
      </c>
      <c r="I71" s="76"/>
      <c r="J71" s="5" t="s">
        <v>18</v>
      </c>
      <c r="K71" s="52">
        <f>SUM(G70-K68)</f>
        <v>105.50438857216503</v>
      </c>
    </row>
    <row r="73" spans="1:11" x14ac:dyDescent="0.2">
      <c r="A73" s="8" t="s">
        <v>164</v>
      </c>
      <c r="B73" s="8" t="s">
        <v>158</v>
      </c>
      <c r="C73" s="8"/>
      <c r="D73" s="8"/>
    </row>
    <row r="75" spans="1:11" x14ac:dyDescent="0.2">
      <c r="F75" s="5" t="s">
        <v>18</v>
      </c>
      <c r="G75" s="77">
        <f>K71</f>
        <v>105.50438857216503</v>
      </c>
    </row>
    <row r="76" spans="1:11" x14ac:dyDescent="0.2">
      <c r="E76" s="11" t="s">
        <v>159</v>
      </c>
      <c r="F76" s="11"/>
      <c r="G76" s="74">
        <f>G11</f>
        <v>215</v>
      </c>
    </row>
    <row r="78" spans="1:11" x14ac:dyDescent="0.2">
      <c r="E78" s="11" t="s">
        <v>160</v>
      </c>
      <c r="G78" s="78">
        <f>SUM(G75*G76)</f>
        <v>22683.443543015481</v>
      </c>
    </row>
  </sheetData>
  <phoneticPr fontId="0" type="noConversion"/>
  <pageMargins left="0.75" right="0.75" top="0.67" bottom="0.25" header="0.5" footer="0.25"/>
  <pageSetup scale="75" orientation="landscape" horizontalDpi="360" verticalDpi="4294967293"/>
  <headerFooter alignWithMargins="0"/>
  <rowBreaks count="1" manualBreakCount="1">
    <brk id="54" max="1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4EDD7-38C1-420C-BBD1-CE0C73E4C52D}">
  <sheetPr codeName="Sheet7"/>
  <dimension ref="A2:N69"/>
  <sheetViews>
    <sheetView workbookViewId="0">
      <selection activeCell="G71" sqref="G71"/>
    </sheetView>
  </sheetViews>
  <sheetFormatPr defaultColWidth="8.85546875" defaultRowHeight="12.75" x14ac:dyDescent="0.2"/>
  <cols>
    <col min="1" max="5" width="8.85546875" customWidth="1"/>
    <col min="6" max="6" width="10.28515625" customWidth="1"/>
    <col min="7" max="7" width="11.28515625" customWidth="1"/>
    <col min="8" max="10" width="8.85546875" customWidth="1"/>
    <col min="11" max="11" width="16.42578125" customWidth="1"/>
  </cols>
  <sheetData>
    <row r="2" spans="1:14" x14ac:dyDescent="0.2">
      <c r="A2" s="11" t="s">
        <v>9</v>
      </c>
      <c r="B2" s="11"/>
      <c r="C2" s="3" t="str">
        <f>'Data Entry'!E12</f>
        <v>Advanced</v>
      </c>
      <c r="D2" s="3"/>
    </row>
    <row r="3" spans="1:14" x14ac:dyDescent="0.2">
      <c r="E3" s="1"/>
      <c r="I3" s="5"/>
      <c r="J3" s="23"/>
      <c r="M3" s="49"/>
      <c r="N3" s="49"/>
    </row>
    <row r="4" spans="1:14" x14ac:dyDescent="0.2">
      <c r="E4" s="1"/>
      <c r="I4" s="5"/>
      <c r="J4" s="23"/>
    </row>
    <row r="5" spans="1:14" x14ac:dyDescent="0.2">
      <c r="A5" s="8" t="s">
        <v>99</v>
      </c>
      <c r="B5" s="8" t="s">
        <v>70</v>
      </c>
      <c r="C5" s="8"/>
      <c r="D5" s="8"/>
      <c r="E5" s="24"/>
      <c r="I5" s="5"/>
      <c r="J5" s="23"/>
    </row>
    <row r="6" spans="1:14" x14ac:dyDescent="0.2">
      <c r="A6" s="8"/>
      <c r="B6" s="8"/>
      <c r="C6" s="8"/>
      <c r="D6" s="8"/>
      <c r="E6" s="24"/>
      <c r="I6" s="5"/>
      <c r="J6" s="23"/>
    </row>
    <row r="7" spans="1:14" x14ac:dyDescent="0.2">
      <c r="A7" s="25" t="s">
        <v>106</v>
      </c>
      <c r="B7" s="4"/>
      <c r="C7" s="4"/>
      <c r="E7" s="24"/>
      <c r="G7" s="26" t="s">
        <v>10</v>
      </c>
      <c r="I7" s="5"/>
      <c r="J7" s="23"/>
      <c r="K7" s="5" t="s">
        <v>52</v>
      </c>
      <c r="L7" s="3">
        <f>'Data Entry'!G21</f>
        <v>371</v>
      </c>
    </row>
    <row r="8" spans="1:14" x14ac:dyDescent="0.2">
      <c r="A8" s="27" t="s">
        <v>71</v>
      </c>
      <c r="B8" s="25"/>
      <c r="C8" s="25"/>
      <c r="E8" s="24"/>
      <c r="G8" s="50">
        <f>'Data Entry'!G12</f>
        <v>35</v>
      </c>
      <c r="H8" s="59" t="s">
        <v>33</v>
      </c>
      <c r="I8" s="5"/>
      <c r="J8" s="23"/>
    </row>
    <row r="9" spans="1:14" x14ac:dyDescent="0.2">
      <c r="A9" s="27" t="s">
        <v>72</v>
      </c>
      <c r="B9" s="25"/>
      <c r="C9" s="25"/>
      <c r="E9" s="1"/>
      <c r="G9" s="28">
        <v>4</v>
      </c>
      <c r="K9" s="5"/>
      <c r="L9" s="23"/>
    </row>
    <row r="10" spans="1:14" x14ac:dyDescent="0.2">
      <c r="A10" s="27"/>
      <c r="B10" s="25"/>
      <c r="C10" s="25"/>
      <c r="D10" s="29"/>
      <c r="E10" s="1"/>
      <c r="K10" s="5"/>
      <c r="L10" s="23"/>
    </row>
    <row r="11" spans="1:14" x14ac:dyDescent="0.2">
      <c r="A11" s="8" t="s">
        <v>100</v>
      </c>
      <c r="B11" s="8" t="s">
        <v>114</v>
      </c>
      <c r="C11" s="4"/>
      <c r="D11" s="4"/>
      <c r="E11" s="9"/>
    </row>
    <row r="12" spans="1:14" x14ac:dyDescent="0.2">
      <c r="A12" s="11"/>
      <c r="B12" s="11"/>
      <c r="E12" s="1"/>
    </row>
    <row r="13" spans="1:14" x14ac:dyDescent="0.2">
      <c r="A13" s="11" t="s">
        <v>55</v>
      </c>
      <c r="E13" s="1"/>
      <c r="G13" s="5" t="s">
        <v>56</v>
      </c>
    </row>
    <row r="14" spans="1:14" x14ac:dyDescent="0.2">
      <c r="A14" t="s">
        <v>75</v>
      </c>
      <c r="G14" s="90">
        <v>14</v>
      </c>
      <c r="I14" t="s">
        <v>76</v>
      </c>
      <c r="L14" s="31">
        <f>G14</f>
        <v>14</v>
      </c>
    </row>
    <row r="15" spans="1:14" x14ac:dyDescent="0.2">
      <c r="A15" t="s">
        <v>77</v>
      </c>
      <c r="E15" s="1"/>
      <c r="G15" s="30">
        <v>0</v>
      </c>
      <c r="I15" t="s">
        <v>76</v>
      </c>
      <c r="L15" s="31">
        <f t="shared" ref="L15:L23" si="0">G15</f>
        <v>0</v>
      </c>
    </row>
    <row r="16" spans="1:14" x14ac:dyDescent="0.2">
      <c r="A16" t="s">
        <v>78</v>
      </c>
      <c r="E16" s="1"/>
      <c r="G16" s="94">
        <v>3</v>
      </c>
      <c r="I16" t="s">
        <v>76</v>
      </c>
      <c r="L16" s="31">
        <f t="shared" si="0"/>
        <v>3</v>
      </c>
    </row>
    <row r="17" spans="1:12" x14ac:dyDescent="0.2">
      <c r="A17" t="s">
        <v>79</v>
      </c>
      <c r="E17" s="1"/>
      <c r="G17" s="30">
        <v>11</v>
      </c>
      <c r="I17" t="s">
        <v>76</v>
      </c>
      <c r="L17" s="31">
        <f t="shared" si="0"/>
        <v>11</v>
      </c>
    </row>
    <row r="18" spans="1:12" x14ac:dyDescent="0.2">
      <c r="A18" t="s">
        <v>80</v>
      </c>
      <c r="E18" s="1"/>
      <c r="G18" s="30">
        <v>0</v>
      </c>
      <c r="I18" t="s">
        <v>76</v>
      </c>
      <c r="L18" s="31">
        <f t="shared" si="0"/>
        <v>0</v>
      </c>
    </row>
    <row r="19" spans="1:12" x14ac:dyDescent="0.2">
      <c r="A19" t="s">
        <v>81</v>
      </c>
      <c r="E19" s="1"/>
      <c r="G19" s="90">
        <v>0</v>
      </c>
      <c r="I19" t="s">
        <v>76</v>
      </c>
      <c r="L19" s="31">
        <f t="shared" si="0"/>
        <v>0</v>
      </c>
    </row>
    <row r="20" spans="1:12" x14ac:dyDescent="0.2">
      <c r="A20" t="s">
        <v>82</v>
      </c>
      <c r="E20" s="1"/>
      <c r="G20" s="30">
        <v>20</v>
      </c>
      <c r="I20" t="s">
        <v>76</v>
      </c>
      <c r="L20" s="31">
        <f t="shared" si="0"/>
        <v>20</v>
      </c>
    </row>
    <row r="21" spans="1:12" x14ac:dyDescent="0.2">
      <c r="A21" s="13" t="s">
        <v>60</v>
      </c>
      <c r="E21" s="1"/>
      <c r="G21" s="30">
        <v>0</v>
      </c>
      <c r="I21" t="s">
        <v>76</v>
      </c>
      <c r="L21" s="31">
        <f t="shared" si="0"/>
        <v>0</v>
      </c>
    </row>
    <row r="22" spans="1:12" x14ac:dyDescent="0.2">
      <c r="A22" s="13" t="s">
        <v>60</v>
      </c>
      <c r="E22" s="1"/>
      <c r="G22" s="30">
        <v>0</v>
      </c>
      <c r="I22" t="s">
        <v>76</v>
      </c>
      <c r="L22" s="31">
        <f t="shared" si="0"/>
        <v>0</v>
      </c>
    </row>
    <row r="23" spans="1:12" x14ac:dyDescent="0.2">
      <c r="A23" s="13" t="s">
        <v>60</v>
      </c>
      <c r="E23" s="1"/>
      <c r="G23" s="30">
        <v>0</v>
      </c>
      <c r="I23" t="s">
        <v>76</v>
      </c>
      <c r="L23" s="31">
        <f t="shared" si="0"/>
        <v>0</v>
      </c>
    </row>
    <row r="24" spans="1:12" x14ac:dyDescent="0.2">
      <c r="E24" s="1"/>
      <c r="G24" s="1"/>
      <c r="K24" s="5" t="s">
        <v>83</v>
      </c>
      <c r="L24" s="33">
        <f>SUM(L14:L23)</f>
        <v>48</v>
      </c>
    </row>
    <row r="25" spans="1:12" x14ac:dyDescent="0.2">
      <c r="A25" s="11"/>
      <c r="B25" s="11"/>
      <c r="E25" s="1"/>
      <c r="L25" s="1"/>
    </row>
    <row r="26" spans="1:12" x14ac:dyDescent="0.2">
      <c r="A26" s="11" t="s">
        <v>55</v>
      </c>
      <c r="E26" s="1"/>
      <c r="G26" s="5" t="s">
        <v>56</v>
      </c>
    </row>
    <row r="27" spans="1:12" x14ac:dyDescent="0.2">
      <c r="A27" t="s">
        <v>84</v>
      </c>
      <c r="E27" s="1"/>
      <c r="G27" s="30">
        <v>0</v>
      </c>
      <c r="I27" t="s">
        <v>85</v>
      </c>
      <c r="L27" s="31">
        <f>G27/$G$9</f>
        <v>0</v>
      </c>
    </row>
    <row r="28" spans="1:12" x14ac:dyDescent="0.2">
      <c r="A28" t="s">
        <v>86</v>
      </c>
      <c r="D28" s="34"/>
      <c r="E28" s="35"/>
      <c r="G28" s="30">
        <v>0</v>
      </c>
      <c r="I28" t="s">
        <v>85</v>
      </c>
      <c r="L28" s="31">
        <f>G28/$G$9</f>
        <v>0</v>
      </c>
    </row>
    <row r="29" spans="1:12" x14ac:dyDescent="0.2">
      <c r="A29" t="s">
        <v>87</v>
      </c>
      <c r="E29" s="36" t="s">
        <v>88</v>
      </c>
    </row>
    <row r="30" spans="1:12" x14ac:dyDescent="0.2">
      <c r="E30" s="19">
        <v>9</v>
      </c>
      <c r="G30" s="30">
        <v>1.5</v>
      </c>
      <c r="I30" t="s">
        <v>89</v>
      </c>
      <c r="L30" s="31">
        <f>SUM(E30*G30)</f>
        <v>13.5</v>
      </c>
    </row>
    <row r="31" spans="1:12" x14ac:dyDescent="0.2">
      <c r="A31" t="s">
        <v>50</v>
      </c>
      <c r="D31" s="37" t="s">
        <v>90</v>
      </c>
      <c r="E31" s="37" t="s">
        <v>91</v>
      </c>
      <c r="G31" s="38"/>
      <c r="H31" s="10"/>
      <c r="I31" s="10"/>
      <c r="J31" s="10"/>
      <c r="K31" s="10"/>
      <c r="L31" s="39"/>
    </row>
    <row r="32" spans="1:12" x14ac:dyDescent="0.2">
      <c r="B32" t="s">
        <v>92</v>
      </c>
      <c r="D32" s="19">
        <v>0</v>
      </c>
      <c r="E32" s="19">
        <v>25</v>
      </c>
      <c r="G32" s="40">
        <f>SUM(D32+E32)*G9</f>
        <v>100</v>
      </c>
      <c r="I32" t="s">
        <v>85</v>
      </c>
      <c r="L32" s="41">
        <f>SUM(G32/G9)</f>
        <v>25</v>
      </c>
    </row>
    <row r="33" spans="1:12" x14ac:dyDescent="0.2">
      <c r="A33" t="s">
        <v>93</v>
      </c>
      <c r="E33" s="1"/>
      <c r="G33" s="30">
        <v>0</v>
      </c>
      <c r="I33" t="s">
        <v>85</v>
      </c>
      <c r="L33" s="31">
        <f>G33/$G$9</f>
        <v>0</v>
      </c>
    </row>
    <row r="34" spans="1:12" x14ac:dyDescent="0.2">
      <c r="A34" t="s">
        <v>94</v>
      </c>
      <c r="E34" s="1"/>
      <c r="G34" s="30">
        <v>0</v>
      </c>
      <c r="I34" t="s">
        <v>85</v>
      </c>
      <c r="L34" s="31">
        <f>G34/$G$9</f>
        <v>0</v>
      </c>
    </row>
    <row r="35" spans="1:12" x14ac:dyDescent="0.2">
      <c r="A35" t="s">
        <v>95</v>
      </c>
      <c r="E35" s="1"/>
      <c r="G35" s="30">
        <v>0</v>
      </c>
      <c r="I35" t="s">
        <v>85</v>
      </c>
      <c r="L35" s="31">
        <f>G35/$G$9</f>
        <v>0</v>
      </c>
    </row>
    <row r="36" spans="1:12" x14ac:dyDescent="0.2">
      <c r="A36" t="s">
        <v>96</v>
      </c>
      <c r="E36" s="1"/>
      <c r="G36" s="30">
        <v>30</v>
      </c>
      <c r="I36" t="s">
        <v>85</v>
      </c>
      <c r="L36" s="31">
        <f>G36/$G$9</f>
        <v>7.5</v>
      </c>
    </row>
    <row r="37" spans="1:12" x14ac:dyDescent="0.2">
      <c r="A37" t="s">
        <v>97</v>
      </c>
      <c r="E37" s="37" t="s">
        <v>98</v>
      </c>
    </row>
    <row r="38" spans="1:12" x14ac:dyDescent="0.2">
      <c r="E38" s="19">
        <v>1</v>
      </c>
      <c r="G38" s="42">
        <v>0</v>
      </c>
      <c r="I38" t="s">
        <v>85</v>
      </c>
      <c r="L38" s="40">
        <f>SUM(G38/E38)/G9</f>
        <v>0</v>
      </c>
    </row>
    <row r="39" spans="1:12" x14ac:dyDescent="0.2">
      <c r="A39" s="13" t="s">
        <v>60</v>
      </c>
      <c r="E39" s="1"/>
      <c r="G39" s="30">
        <v>0</v>
      </c>
      <c r="I39" t="s">
        <v>85</v>
      </c>
      <c r="L39" s="31">
        <f>G39/$G$9</f>
        <v>0</v>
      </c>
    </row>
    <row r="40" spans="1:12" x14ac:dyDescent="0.2">
      <c r="A40" s="13" t="s">
        <v>60</v>
      </c>
      <c r="E40" s="1"/>
      <c r="G40" s="30">
        <v>0</v>
      </c>
      <c r="I40" t="s">
        <v>85</v>
      </c>
      <c r="L40" s="31">
        <f>G40/$G$9</f>
        <v>0</v>
      </c>
    </row>
    <row r="41" spans="1:12" x14ac:dyDescent="0.2">
      <c r="A41" s="13" t="s">
        <v>60</v>
      </c>
      <c r="E41" s="1"/>
      <c r="G41" s="30">
        <v>0</v>
      </c>
      <c r="I41" t="s">
        <v>85</v>
      </c>
      <c r="L41" s="31">
        <f>G41/$G$9</f>
        <v>0</v>
      </c>
    </row>
    <row r="42" spans="1:12" x14ac:dyDescent="0.2">
      <c r="E42" s="1"/>
      <c r="G42" s="1"/>
      <c r="I42" s="5" t="s">
        <v>83</v>
      </c>
      <c r="L42" s="33">
        <f>SUM(L27:L41)</f>
        <v>46</v>
      </c>
    </row>
    <row r="43" spans="1:12" x14ac:dyDescent="0.2">
      <c r="E43" s="1"/>
      <c r="L43" s="43"/>
    </row>
    <row r="44" spans="1:12" x14ac:dyDescent="0.2">
      <c r="E44" s="1"/>
      <c r="G44" s="1"/>
      <c r="J44" s="5" t="s">
        <v>43</v>
      </c>
      <c r="L44" s="33">
        <f>L24+L42</f>
        <v>94</v>
      </c>
    </row>
    <row r="45" spans="1:12" x14ac:dyDescent="0.2">
      <c r="E45" s="1"/>
    </row>
    <row r="46" spans="1:12" x14ac:dyDescent="0.2">
      <c r="E46" s="1"/>
    </row>
    <row r="47" spans="1:12" x14ac:dyDescent="0.2">
      <c r="A47" s="44" t="s">
        <v>14</v>
      </c>
      <c r="B47" s="8" t="s">
        <v>16</v>
      </c>
      <c r="C47" s="4"/>
      <c r="E47" s="1"/>
      <c r="G47" s="45">
        <v>0.25</v>
      </c>
    </row>
    <row r="48" spans="1:12" x14ac:dyDescent="0.2">
      <c r="E48" s="1"/>
    </row>
    <row r="49" spans="1:12" x14ac:dyDescent="0.2">
      <c r="A49" s="8" t="s">
        <v>157</v>
      </c>
      <c r="B49" s="8" t="s">
        <v>101</v>
      </c>
      <c r="C49" s="8"/>
      <c r="D49" s="8"/>
      <c r="E49" s="24"/>
      <c r="F49" s="11"/>
      <c r="G49" s="11"/>
    </row>
    <row r="50" spans="1:12" x14ac:dyDescent="0.2">
      <c r="E50" s="1"/>
      <c r="K50" s="11" t="s">
        <v>39</v>
      </c>
      <c r="L50" s="33">
        <f>' Fixed Expenses'!L66</f>
        <v>10.633512432837685</v>
      </c>
    </row>
    <row r="51" spans="1:12" x14ac:dyDescent="0.2">
      <c r="E51" s="1"/>
    </row>
    <row r="52" spans="1:12" x14ac:dyDescent="0.2">
      <c r="C52" s="5" t="s">
        <v>42</v>
      </c>
      <c r="D52" s="33">
        <f>SUM(L50*H53)</f>
        <v>1.0031615502677063</v>
      </c>
      <c r="E52" s="1"/>
      <c r="K52" s="5" t="s">
        <v>102</v>
      </c>
      <c r="L52" s="33">
        <f>D54</f>
        <v>95.003161550267706</v>
      </c>
    </row>
    <row r="53" spans="1:12" x14ac:dyDescent="0.2">
      <c r="C53" s="5" t="s">
        <v>43</v>
      </c>
      <c r="D53" s="33">
        <f>L44</f>
        <v>94</v>
      </c>
      <c r="E53" s="8" t="s">
        <v>103</v>
      </c>
      <c r="H53" s="46">
        <f>SUM(G8/' Fixed Expenses'!L3)</f>
        <v>9.4339622641509441E-2</v>
      </c>
      <c r="K53" s="5" t="s">
        <v>104</v>
      </c>
      <c r="L53" s="33">
        <f>L52*G47</f>
        <v>23.750790387566926</v>
      </c>
    </row>
    <row r="54" spans="1:12" x14ac:dyDescent="0.2">
      <c r="C54" s="5" t="s">
        <v>102</v>
      </c>
      <c r="D54" s="33">
        <f>D52+D53</f>
        <v>95.003161550267706</v>
      </c>
      <c r="E54" s="1"/>
      <c r="K54" s="5" t="s">
        <v>105</v>
      </c>
      <c r="L54" s="33">
        <f>L52+L53</f>
        <v>118.75395193783463</v>
      </c>
    </row>
    <row r="55" spans="1:12" x14ac:dyDescent="0.2">
      <c r="E55" s="1"/>
    </row>
    <row r="56" spans="1:12" x14ac:dyDescent="0.2">
      <c r="E56" s="1"/>
    </row>
    <row r="57" spans="1:12" x14ac:dyDescent="0.2">
      <c r="A57" s="8" t="s">
        <v>163</v>
      </c>
      <c r="B57" s="8" t="s">
        <v>15</v>
      </c>
      <c r="C57" s="8"/>
      <c r="D57" s="8"/>
      <c r="L57" s="10"/>
    </row>
    <row r="58" spans="1:12" x14ac:dyDescent="0.2">
      <c r="L58" s="81"/>
    </row>
    <row r="59" spans="1:12" x14ac:dyDescent="0.2">
      <c r="J59" s="76"/>
      <c r="K59" s="5" t="s">
        <v>17</v>
      </c>
      <c r="L59" s="52">
        <f>L52</f>
        <v>95.003161550267706</v>
      </c>
    </row>
    <row r="61" spans="1:12" x14ac:dyDescent="0.2">
      <c r="F61" s="5" t="s">
        <v>165</v>
      </c>
      <c r="G61" s="80">
        <v>0</v>
      </c>
      <c r="H61" s="91" t="s">
        <v>35</v>
      </c>
    </row>
    <row r="62" spans="1:12" x14ac:dyDescent="0.2">
      <c r="F62" s="5" t="s">
        <v>162</v>
      </c>
      <c r="G62" s="79">
        <f>SUM(L62/L59)</f>
        <v>-1</v>
      </c>
      <c r="J62" s="76"/>
      <c r="K62" s="5" t="s">
        <v>18</v>
      </c>
      <c r="L62" s="52">
        <f>SUM(G61-L59)</f>
        <v>-95.003161550267706</v>
      </c>
    </row>
    <row r="63" spans="1:12" x14ac:dyDescent="0.2">
      <c r="L63" s="10"/>
    </row>
    <row r="64" spans="1:12" x14ac:dyDescent="0.2">
      <c r="A64" s="8" t="s">
        <v>164</v>
      </c>
      <c r="B64" s="8" t="s">
        <v>158</v>
      </c>
      <c r="C64" s="8"/>
      <c r="D64" s="8"/>
      <c r="L64" s="10"/>
    </row>
    <row r="65" spans="6:12" x14ac:dyDescent="0.2">
      <c r="L65" s="10"/>
    </row>
    <row r="66" spans="6:12" x14ac:dyDescent="0.2">
      <c r="F66" s="5" t="s">
        <v>18</v>
      </c>
      <c r="G66" s="77">
        <f>L62</f>
        <v>-95.003161550267706</v>
      </c>
      <c r="L66" s="10"/>
    </row>
    <row r="67" spans="6:12" x14ac:dyDescent="0.2">
      <c r="F67" s="5" t="s">
        <v>159</v>
      </c>
      <c r="G67" s="74">
        <f>G8</f>
        <v>35</v>
      </c>
      <c r="L67" s="10"/>
    </row>
    <row r="68" spans="6:12" x14ac:dyDescent="0.2">
      <c r="L68" s="10"/>
    </row>
    <row r="69" spans="6:12" x14ac:dyDescent="0.2">
      <c r="F69" s="5" t="s">
        <v>160</v>
      </c>
      <c r="G69" s="78">
        <f>SUM(G67*G66)</f>
        <v>-3325.1106542593698</v>
      </c>
    </row>
  </sheetData>
  <phoneticPr fontId="0" type="noConversion"/>
  <pageMargins left="0.75" right="0.75" top="1" bottom="1" header="0.5" footer="0.5"/>
  <pageSetup orientation="landscape" horizontalDpi="360" verticalDpi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31AE5-F96E-47C8-82EB-2EE6EF669FD4}">
  <sheetPr codeName="Sheet6"/>
  <dimension ref="A2:N70"/>
  <sheetViews>
    <sheetView workbookViewId="0">
      <selection activeCell="F32" sqref="F32"/>
    </sheetView>
  </sheetViews>
  <sheetFormatPr defaultColWidth="8.85546875" defaultRowHeight="12.75" x14ac:dyDescent="0.2"/>
  <cols>
    <col min="1" max="5" width="8.85546875" customWidth="1"/>
    <col min="6" max="6" width="15.42578125" customWidth="1"/>
    <col min="7" max="7" width="10.28515625" bestFit="1" customWidth="1"/>
    <col min="8" max="10" width="8.85546875" customWidth="1"/>
    <col min="11" max="11" width="15.85546875" customWidth="1"/>
  </cols>
  <sheetData>
    <row r="2" spans="1:14" x14ac:dyDescent="0.2">
      <c r="A2" s="11" t="s">
        <v>9</v>
      </c>
      <c r="B2" s="11"/>
      <c r="C2" s="3" t="str">
        <f>'Data Entry'!E11</f>
        <v>Adventure Diver</v>
      </c>
      <c r="D2" s="3"/>
    </row>
    <row r="3" spans="1:14" x14ac:dyDescent="0.2">
      <c r="E3" s="1"/>
      <c r="I3" s="5"/>
      <c r="J3" s="23"/>
      <c r="M3" s="49"/>
      <c r="N3" s="49"/>
    </row>
    <row r="4" spans="1:14" x14ac:dyDescent="0.2">
      <c r="E4" s="1"/>
      <c r="I4" s="5"/>
      <c r="J4" s="23"/>
    </row>
    <row r="5" spans="1:14" x14ac:dyDescent="0.2">
      <c r="A5" s="8" t="s">
        <v>99</v>
      </c>
      <c r="B5" s="8" t="s">
        <v>70</v>
      </c>
      <c r="C5" s="8"/>
      <c r="D5" s="8"/>
      <c r="E5" s="24"/>
      <c r="I5" s="5"/>
      <c r="J5" s="23"/>
    </row>
    <row r="6" spans="1:14" x14ac:dyDescent="0.2">
      <c r="A6" s="8"/>
      <c r="B6" s="8"/>
      <c r="C6" s="8"/>
      <c r="D6" s="8"/>
      <c r="E6" s="24"/>
      <c r="I6" s="5"/>
      <c r="J6" s="23"/>
    </row>
    <row r="7" spans="1:14" x14ac:dyDescent="0.2">
      <c r="A7" s="25" t="s">
        <v>106</v>
      </c>
      <c r="B7" s="4"/>
      <c r="C7" s="4"/>
      <c r="E7" s="24"/>
      <c r="G7" s="26" t="s">
        <v>10</v>
      </c>
      <c r="I7" s="5"/>
      <c r="J7" s="23"/>
      <c r="K7" s="5" t="s">
        <v>52</v>
      </c>
      <c r="L7" s="3">
        <f>'Data Entry'!G21</f>
        <v>371</v>
      </c>
    </row>
    <row r="8" spans="1:14" x14ac:dyDescent="0.2">
      <c r="A8" s="27" t="s">
        <v>71</v>
      </c>
      <c r="B8" s="25"/>
      <c r="C8" s="25"/>
      <c r="E8" s="24"/>
      <c r="G8" s="50">
        <f>'Data Entry'!G11</f>
        <v>23</v>
      </c>
      <c r="H8" s="59" t="s">
        <v>33</v>
      </c>
      <c r="I8" s="5"/>
      <c r="J8" s="23"/>
    </row>
    <row r="9" spans="1:14" x14ac:dyDescent="0.2">
      <c r="A9" s="27" t="s">
        <v>72</v>
      </c>
      <c r="B9" s="25"/>
      <c r="C9" s="25"/>
      <c r="E9" s="1"/>
      <c r="G9" s="28">
        <v>2</v>
      </c>
      <c r="K9" s="5"/>
      <c r="L9" s="23"/>
    </row>
    <row r="10" spans="1:14" x14ac:dyDescent="0.2">
      <c r="A10" s="27"/>
      <c r="B10" s="25"/>
      <c r="C10" s="25"/>
      <c r="D10" s="29"/>
      <c r="E10" s="1"/>
      <c r="K10" s="5"/>
      <c r="L10" s="23"/>
    </row>
    <row r="11" spans="1:14" x14ac:dyDescent="0.2">
      <c r="A11" s="8" t="s">
        <v>100</v>
      </c>
      <c r="B11" s="8" t="s">
        <v>74</v>
      </c>
      <c r="C11" s="4"/>
      <c r="D11" s="4"/>
      <c r="E11" s="9"/>
    </row>
    <row r="12" spans="1:14" x14ac:dyDescent="0.2">
      <c r="A12" s="11"/>
      <c r="B12" s="11"/>
      <c r="E12" s="1"/>
    </row>
    <row r="13" spans="1:14" x14ac:dyDescent="0.2">
      <c r="A13" s="11" t="s">
        <v>55</v>
      </c>
      <c r="E13" s="1"/>
      <c r="G13" s="5" t="s">
        <v>56</v>
      </c>
    </row>
    <row r="14" spans="1:14" x14ac:dyDescent="0.2">
      <c r="A14" t="s">
        <v>75</v>
      </c>
      <c r="E14" s="1"/>
      <c r="G14" s="30">
        <v>0</v>
      </c>
      <c r="I14" t="s">
        <v>76</v>
      </c>
      <c r="L14" s="31">
        <f t="shared" ref="L14:L23" si="0">G14</f>
        <v>0</v>
      </c>
    </row>
    <row r="15" spans="1:14" x14ac:dyDescent="0.2">
      <c r="A15" t="s">
        <v>77</v>
      </c>
      <c r="E15" s="1"/>
      <c r="G15" s="30">
        <v>0</v>
      </c>
      <c r="I15" t="s">
        <v>76</v>
      </c>
      <c r="L15" s="31">
        <f t="shared" si="0"/>
        <v>0</v>
      </c>
    </row>
    <row r="16" spans="1:14" x14ac:dyDescent="0.2">
      <c r="A16" t="s">
        <v>78</v>
      </c>
      <c r="E16" s="1"/>
      <c r="G16" s="32">
        <v>0</v>
      </c>
      <c r="I16" t="s">
        <v>76</v>
      </c>
      <c r="L16" s="31">
        <f t="shared" si="0"/>
        <v>0</v>
      </c>
    </row>
    <row r="17" spans="1:12" x14ac:dyDescent="0.2">
      <c r="A17" t="s">
        <v>79</v>
      </c>
      <c r="E17" s="1"/>
      <c r="G17" s="30">
        <v>0</v>
      </c>
      <c r="I17" t="s">
        <v>76</v>
      </c>
      <c r="L17" s="31">
        <f t="shared" si="0"/>
        <v>0</v>
      </c>
    </row>
    <row r="18" spans="1:12" x14ac:dyDescent="0.2">
      <c r="A18" t="s">
        <v>80</v>
      </c>
      <c r="E18" s="1"/>
      <c r="G18" s="30">
        <v>0</v>
      </c>
      <c r="I18" t="s">
        <v>76</v>
      </c>
      <c r="L18" s="31">
        <f t="shared" si="0"/>
        <v>0</v>
      </c>
    </row>
    <row r="19" spans="1:12" x14ac:dyDescent="0.2">
      <c r="A19" t="s">
        <v>81</v>
      </c>
      <c r="E19" s="1"/>
      <c r="G19" s="30">
        <v>0</v>
      </c>
      <c r="I19" t="s">
        <v>76</v>
      </c>
      <c r="L19" s="31">
        <f t="shared" si="0"/>
        <v>0</v>
      </c>
    </row>
    <row r="20" spans="1:12" x14ac:dyDescent="0.2">
      <c r="A20" t="s">
        <v>82</v>
      </c>
      <c r="E20" s="1"/>
      <c r="G20" s="30">
        <v>0</v>
      </c>
      <c r="I20" t="s">
        <v>76</v>
      </c>
      <c r="L20" s="31">
        <f t="shared" si="0"/>
        <v>0</v>
      </c>
    </row>
    <row r="21" spans="1:12" x14ac:dyDescent="0.2">
      <c r="A21" s="13" t="s">
        <v>60</v>
      </c>
      <c r="E21" s="1"/>
      <c r="G21" s="30">
        <v>0</v>
      </c>
      <c r="I21" t="s">
        <v>76</v>
      </c>
      <c r="L21" s="31">
        <f t="shared" si="0"/>
        <v>0</v>
      </c>
    </row>
    <row r="22" spans="1:12" x14ac:dyDescent="0.2">
      <c r="A22" s="13" t="s">
        <v>60</v>
      </c>
      <c r="E22" s="1"/>
      <c r="G22" s="30">
        <v>0</v>
      </c>
      <c r="I22" t="s">
        <v>76</v>
      </c>
      <c r="L22" s="31">
        <f t="shared" si="0"/>
        <v>0</v>
      </c>
    </row>
    <row r="23" spans="1:12" x14ac:dyDescent="0.2">
      <c r="A23" s="13" t="s">
        <v>60</v>
      </c>
      <c r="E23" s="1"/>
      <c r="G23" s="30">
        <v>0</v>
      </c>
      <c r="I23" t="s">
        <v>76</v>
      </c>
      <c r="L23" s="31">
        <f t="shared" si="0"/>
        <v>0</v>
      </c>
    </row>
    <row r="24" spans="1:12" x14ac:dyDescent="0.2">
      <c r="E24" s="1"/>
      <c r="G24" s="1"/>
      <c r="K24" s="5" t="s">
        <v>83</v>
      </c>
      <c r="L24" s="33">
        <f>SUM(L14:L23)</f>
        <v>0</v>
      </c>
    </row>
    <row r="25" spans="1:12" x14ac:dyDescent="0.2">
      <c r="A25" s="11"/>
      <c r="B25" s="11"/>
      <c r="E25" s="1"/>
      <c r="L25" s="1"/>
    </row>
    <row r="26" spans="1:12" x14ac:dyDescent="0.2">
      <c r="A26" s="11" t="s">
        <v>55</v>
      </c>
      <c r="E26" s="1"/>
      <c r="G26" s="5" t="s">
        <v>56</v>
      </c>
    </row>
    <row r="27" spans="1:12" x14ac:dyDescent="0.2">
      <c r="A27" t="s">
        <v>84</v>
      </c>
      <c r="E27" s="1"/>
      <c r="G27" s="30">
        <v>0</v>
      </c>
      <c r="I27" t="s">
        <v>85</v>
      </c>
      <c r="L27" s="31">
        <f>G27/$G$9</f>
        <v>0</v>
      </c>
    </row>
    <row r="28" spans="1:12" x14ac:dyDescent="0.2">
      <c r="A28" t="s">
        <v>86</v>
      </c>
      <c r="D28" s="34"/>
      <c r="E28" s="35"/>
      <c r="G28" s="30">
        <v>0</v>
      </c>
      <c r="I28" t="s">
        <v>85</v>
      </c>
      <c r="L28" s="31">
        <f>G28/$G$9</f>
        <v>0</v>
      </c>
    </row>
    <row r="29" spans="1:12" x14ac:dyDescent="0.2">
      <c r="A29" t="s">
        <v>87</v>
      </c>
      <c r="E29" s="36" t="s">
        <v>88</v>
      </c>
    </row>
    <row r="30" spans="1:12" x14ac:dyDescent="0.2">
      <c r="E30" s="19">
        <v>3</v>
      </c>
      <c r="G30" s="30">
        <v>1.5</v>
      </c>
      <c r="I30" t="s">
        <v>89</v>
      </c>
      <c r="L30" s="31">
        <f>SUM(E30*G30)</f>
        <v>4.5</v>
      </c>
    </row>
    <row r="31" spans="1:12" x14ac:dyDescent="0.2">
      <c r="A31" t="s">
        <v>50</v>
      </c>
      <c r="D31" s="37" t="s">
        <v>90</v>
      </c>
      <c r="E31" s="37" t="s">
        <v>91</v>
      </c>
      <c r="G31" s="38"/>
      <c r="H31" s="10"/>
      <c r="I31" s="10"/>
      <c r="J31" s="10"/>
      <c r="K31" s="10"/>
      <c r="L31" s="39"/>
    </row>
    <row r="32" spans="1:12" x14ac:dyDescent="0.2">
      <c r="B32" t="s">
        <v>92</v>
      </c>
      <c r="D32" s="19">
        <v>0</v>
      </c>
      <c r="E32" s="19">
        <v>0</v>
      </c>
      <c r="G32" s="40">
        <f>SUM(D32+E32)*G9</f>
        <v>0</v>
      </c>
      <c r="I32" t="s">
        <v>85</v>
      </c>
      <c r="L32" s="41">
        <f>SUM(G32/G9)</f>
        <v>0</v>
      </c>
    </row>
    <row r="33" spans="1:12" x14ac:dyDescent="0.2">
      <c r="A33" t="s">
        <v>93</v>
      </c>
      <c r="E33" s="1"/>
      <c r="G33" s="30">
        <v>5</v>
      </c>
      <c r="I33" t="s">
        <v>85</v>
      </c>
      <c r="L33" s="31">
        <f>G33/$G$9</f>
        <v>2.5</v>
      </c>
    </row>
    <row r="34" spans="1:12" x14ac:dyDescent="0.2">
      <c r="A34" t="s">
        <v>94</v>
      </c>
      <c r="E34" s="1"/>
      <c r="G34" s="30">
        <v>0</v>
      </c>
      <c r="I34" t="s">
        <v>85</v>
      </c>
      <c r="L34" s="31">
        <f>G34/$G$9</f>
        <v>0</v>
      </c>
    </row>
    <row r="35" spans="1:12" x14ac:dyDescent="0.2">
      <c r="A35" t="s">
        <v>95</v>
      </c>
      <c r="E35" s="1"/>
      <c r="G35" s="30">
        <v>0</v>
      </c>
      <c r="I35" t="s">
        <v>85</v>
      </c>
      <c r="L35" s="31">
        <f>G35/$G$9</f>
        <v>0</v>
      </c>
    </row>
    <row r="36" spans="1:12" x14ac:dyDescent="0.2">
      <c r="A36" t="s">
        <v>96</v>
      </c>
      <c r="E36" s="1"/>
      <c r="G36" s="30">
        <v>0</v>
      </c>
      <c r="I36" t="s">
        <v>85</v>
      </c>
      <c r="L36" s="31">
        <f>G36/$G$9</f>
        <v>0</v>
      </c>
    </row>
    <row r="37" spans="1:12" x14ac:dyDescent="0.2">
      <c r="A37" t="s">
        <v>97</v>
      </c>
      <c r="E37" s="37" t="s">
        <v>98</v>
      </c>
    </row>
    <row r="38" spans="1:12" x14ac:dyDescent="0.2">
      <c r="E38" s="19">
        <v>1</v>
      </c>
      <c r="G38" s="42">
        <v>0</v>
      </c>
      <c r="I38" t="s">
        <v>85</v>
      </c>
      <c r="L38" s="40">
        <f>SUM(G38/E38)/G9</f>
        <v>0</v>
      </c>
    </row>
    <row r="39" spans="1:12" x14ac:dyDescent="0.2">
      <c r="A39" s="13" t="s">
        <v>60</v>
      </c>
      <c r="E39" s="1"/>
      <c r="G39" s="30">
        <v>0</v>
      </c>
      <c r="I39" t="s">
        <v>85</v>
      </c>
      <c r="L39" s="31">
        <f>G39/$G$9</f>
        <v>0</v>
      </c>
    </row>
    <row r="40" spans="1:12" x14ac:dyDescent="0.2">
      <c r="A40" s="13" t="s">
        <v>60</v>
      </c>
      <c r="E40" s="1"/>
      <c r="G40" s="30">
        <v>0</v>
      </c>
      <c r="I40" t="s">
        <v>85</v>
      </c>
      <c r="L40" s="31">
        <f>G40/$G$9</f>
        <v>0</v>
      </c>
    </row>
    <row r="41" spans="1:12" x14ac:dyDescent="0.2">
      <c r="A41" s="13" t="s">
        <v>60</v>
      </c>
      <c r="E41" s="1"/>
      <c r="G41" s="30">
        <v>0</v>
      </c>
      <c r="I41" t="s">
        <v>85</v>
      </c>
      <c r="L41" s="31">
        <f>G41/$G$9</f>
        <v>0</v>
      </c>
    </row>
    <row r="42" spans="1:12" x14ac:dyDescent="0.2">
      <c r="E42" s="1"/>
      <c r="G42" s="1"/>
      <c r="I42" s="5" t="s">
        <v>83</v>
      </c>
      <c r="L42" s="33">
        <f>SUM(L27:L41)</f>
        <v>7</v>
      </c>
    </row>
    <row r="43" spans="1:12" x14ac:dyDescent="0.2">
      <c r="E43" s="1"/>
      <c r="L43" s="43"/>
    </row>
    <row r="44" spans="1:12" x14ac:dyDescent="0.2">
      <c r="E44" s="1"/>
      <c r="G44" s="1"/>
      <c r="J44" s="5" t="s">
        <v>43</v>
      </c>
      <c r="L44" s="33">
        <f>L24+L42</f>
        <v>7</v>
      </c>
    </row>
    <row r="45" spans="1:12" x14ac:dyDescent="0.2">
      <c r="E45" s="1"/>
    </row>
    <row r="46" spans="1:12" x14ac:dyDescent="0.2">
      <c r="E46" s="1"/>
    </row>
    <row r="47" spans="1:12" x14ac:dyDescent="0.2">
      <c r="A47" s="44" t="s">
        <v>14</v>
      </c>
      <c r="B47" s="8" t="s">
        <v>16</v>
      </c>
      <c r="C47" s="4"/>
      <c r="E47" s="1"/>
      <c r="G47" s="45">
        <v>0.25</v>
      </c>
    </row>
    <row r="48" spans="1:12" x14ac:dyDescent="0.2">
      <c r="E48" s="1"/>
    </row>
    <row r="49" spans="1:12" x14ac:dyDescent="0.2">
      <c r="A49" s="8" t="s">
        <v>157</v>
      </c>
      <c r="B49" s="8" t="s">
        <v>101</v>
      </c>
      <c r="C49" s="8"/>
      <c r="D49" s="8"/>
      <c r="E49" s="24"/>
      <c r="F49" s="11"/>
      <c r="G49" s="11"/>
    </row>
    <row r="50" spans="1:12" x14ac:dyDescent="0.2">
      <c r="E50" s="1"/>
      <c r="K50" s="11" t="s">
        <v>39</v>
      </c>
      <c r="L50" s="33">
        <f>' Fixed Expenses'!L66</f>
        <v>10.633512432837685</v>
      </c>
    </row>
    <row r="51" spans="1:12" x14ac:dyDescent="0.2">
      <c r="E51" s="1"/>
    </row>
    <row r="52" spans="1:12" x14ac:dyDescent="0.2">
      <c r="C52" s="5" t="s">
        <v>42</v>
      </c>
      <c r="D52" s="33">
        <f>SUM(L50*H53)</f>
        <v>0.65922044731877827</v>
      </c>
      <c r="E52" s="1"/>
      <c r="K52" s="5" t="s">
        <v>102</v>
      </c>
      <c r="L52" s="33">
        <f>D54</f>
        <v>7.6592204473187779</v>
      </c>
    </row>
    <row r="53" spans="1:12" x14ac:dyDescent="0.2">
      <c r="C53" s="5" t="s">
        <v>43</v>
      </c>
      <c r="D53" s="33">
        <f>L44</f>
        <v>7</v>
      </c>
      <c r="E53" s="8" t="s">
        <v>103</v>
      </c>
      <c r="H53" s="46">
        <f>SUM(G8/' Fixed Expenses'!L3)</f>
        <v>6.1994609164420483E-2</v>
      </c>
      <c r="K53" s="5" t="s">
        <v>104</v>
      </c>
      <c r="L53" s="33">
        <f>L52*G47</f>
        <v>1.9148051118296945</v>
      </c>
    </row>
    <row r="54" spans="1:12" x14ac:dyDescent="0.2">
      <c r="C54" s="5" t="s">
        <v>102</v>
      </c>
      <c r="D54" s="33">
        <f>D52+D53</f>
        <v>7.6592204473187779</v>
      </c>
      <c r="E54" s="1"/>
      <c r="K54" s="5" t="s">
        <v>105</v>
      </c>
      <c r="L54" s="33">
        <f>L52+L53</f>
        <v>9.5740255591484722</v>
      </c>
    </row>
    <row r="55" spans="1:12" x14ac:dyDescent="0.2">
      <c r="E55" s="1"/>
    </row>
    <row r="56" spans="1:12" x14ac:dyDescent="0.2">
      <c r="E56" s="1"/>
    </row>
    <row r="57" spans="1:12" x14ac:dyDescent="0.2">
      <c r="A57" s="8" t="s">
        <v>163</v>
      </c>
      <c r="B57" s="8" t="s">
        <v>15</v>
      </c>
      <c r="C57" s="8"/>
      <c r="D57" s="8"/>
      <c r="L57" s="10"/>
    </row>
    <row r="58" spans="1:12" x14ac:dyDescent="0.2">
      <c r="L58" s="81"/>
    </row>
    <row r="59" spans="1:12" x14ac:dyDescent="0.2">
      <c r="J59" s="76"/>
      <c r="K59" s="5" t="s">
        <v>17</v>
      </c>
      <c r="L59" s="52">
        <f>L52</f>
        <v>7.6592204473187779</v>
      </c>
    </row>
    <row r="61" spans="1:12" x14ac:dyDescent="0.2">
      <c r="F61" s="5" t="s">
        <v>165</v>
      </c>
      <c r="G61" s="80">
        <v>0</v>
      </c>
      <c r="H61" s="91" t="s">
        <v>35</v>
      </c>
    </row>
    <row r="62" spans="1:12" x14ac:dyDescent="0.2">
      <c r="F62" s="5" t="s">
        <v>162</v>
      </c>
      <c r="G62" s="79">
        <f>SUM(L62/L59)</f>
        <v>-1</v>
      </c>
      <c r="J62" s="76"/>
      <c r="K62" s="5" t="s">
        <v>18</v>
      </c>
      <c r="L62" s="52">
        <f>SUM(G61-L59)</f>
        <v>-7.6592204473187779</v>
      </c>
    </row>
    <row r="63" spans="1:12" x14ac:dyDescent="0.2">
      <c r="L63" s="10"/>
    </row>
    <row r="64" spans="1:12" x14ac:dyDescent="0.2">
      <c r="A64" s="8" t="s">
        <v>164</v>
      </c>
      <c r="B64" s="8" t="s">
        <v>158</v>
      </c>
      <c r="C64" s="8"/>
      <c r="D64" s="8"/>
      <c r="L64" s="10"/>
    </row>
    <row r="65" spans="6:12" x14ac:dyDescent="0.2">
      <c r="L65" s="10"/>
    </row>
    <row r="66" spans="6:12" x14ac:dyDescent="0.2">
      <c r="F66" s="5" t="s">
        <v>18</v>
      </c>
      <c r="G66" s="77">
        <f>L62</f>
        <v>-7.6592204473187779</v>
      </c>
      <c r="L66" s="10"/>
    </row>
    <row r="67" spans="6:12" x14ac:dyDescent="0.2">
      <c r="F67" s="5" t="s">
        <v>159</v>
      </c>
      <c r="G67" s="74">
        <f>G8</f>
        <v>23</v>
      </c>
      <c r="L67" s="10"/>
    </row>
    <row r="68" spans="6:12" x14ac:dyDescent="0.2">
      <c r="L68" s="10"/>
    </row>
    <row r="69" spans="6:12" x14ac:dyDescent="0.2">
      <c r="F69" s="5" t="s">
        <v>160</v>
      </c>
      <c r="G69" s="78">
        <f>SUM(G67*G66)</f>
        <v>-176.1620702883319</v>
      </c>
    </row>
    <row r="70" spans="6:12" x14ac:dyDescent="0.2">
      <c r="G70" s="75"/>
    </row>
  </sheetData>
  <phoneticPr fontId="0" type="noConversion"/>
  <pageMargins left="0.75" right="0.75" top="1" bottom="1" header="0.5" footer="0.5"/>
  <pageSetup orientation="landscape" horizontalDpi="360" verticalDpi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ADC62-AC3B-4F7E-BF3F-88249213A36F}">
  <sheetPr codeName="Sheet24"/>
  <dimension ref="A2:N69"/>
  <sheetViews>
    <sheetView workbookViewId="0">
      <selection activeCell="A38" sqref="A38"/>
    </sheetView>
  </sheetViews>
  <sheetFormatPr defaultColWidth="8.85546875" defaultRowHeight="12.75" x14ac:dyDescent="0.2"/>
  <cols>
    <col min="1" max="5" width="8.85546875" customWidth="1"/>
    <col min="6" max="6" width="10.28515625" customWidth="1"/>
    <col min="7" max="7" width="10.7109375" customWidth="1"/>
    <col min="8" max="10" width="8.85546875" customWidth="1"/>
    <col min="11" max="11" width="16.140625" customWidth="1"/>
  </cols>
  <sheetData>
    <row r="2" spans="1:14" x14ac:dyDescent="0.2">
      <c r="A2" s="11" t="s">
        <v>9</v>
      </c>
      <c r="B2" s="11"/>
      <c r="C2" s="3" t="s">
        <v>123</v>
      </c>
      <c r="D2" s="3"/>
    </row>
    <row r="3" spans="1:14" x14ac:dyDescent="0.2">
      <c r="E3" s="1"/>
      <c r="I3" s="5"/>
      <c r="J3" s="23"/>
      <c r="M3" s="49"/>
      <c r="N3" s="49"/>
    </row>
    <row r="4" spans="1:14" x14ac:dyDescent="0.2">
      <c r="E4" s="1"/>
      <c r="I4" s="5"/>
      <c r="J4" s="23"/>
    </row>
    <row r="5" spans="1:14" x14ac:dyDescent="0.2">
      <c r="A5" s="8" t="s">
        <v>99</v>
      </c>
      <c r="B5" s="8" t="s">
        <v>70</v>
      </c>
      <c r="C5" s="8"/>
      <c r="D5" s="8"/>
      <c r="E5" s="24"/>
      <c r="I5" s="5"/>
      <c r="J5" s="23"/>
    </row>
    <row r="6" spans="1:14" x14ac:dyDescent="0.2">
      <c r="A6" s="8"/>
      <c r="B6" s="8"/>
      <c r="C6" s="8"/>
      <c r="D6" s="8"/>
      <c r="E6" s="24"/>
      <c r="I6" s="5"/>
      <c r="J6" s="23"/>
    </row>
    <row r="7" spans="1:14" x14ac:dyDescent="0.2">
      <c r="A7" s="25" t="s">
        <v>106</v>
      </c>
      <c r="B7" s="4"/>
      <c r="C7" s="4"/>
      <c r="E7" s="24"/>
      <c r="G7" s="26" t="s">
        <v>190</v>
      </c>
      <c r="I7" s="5"/>
      <c r="J7" s="23"/>
      <c r="K7" s="5" t="s">
        <v>52</v>
      </c>
      <c r="L7" s="3">
        <f>'Data Entry'!G21</f>
        <v>371</v>
      </c>
    </row>
    <row r="8" spans="1:14" x14ac:dyDescent="0.2">
      <c r="A8" s="27" t="s">
        <v>71</v>
      </c>
      <c r="B8" s="25"/>
      <c r="C8" s="25"/>
      <c r="E8" s="24"/>
      <c r="G8" s="50">
        <f>'Data Entry'!G13</f>
        <v>15</v>
      </c>
      <c r="H8" s="59" t="s">
        <v>46</v>
      </c>
      <c r="I8" s="5"/>
      <c r="J8" s="23"/>
    </row>
    <row r="9" spans="1:14" x14ac:dyDescent="0.2">
      <c r="A9" s="27" t="s">
        <v>72</v>
      </c>
      <c r="B9" s="25"/>
      <c r="C9" s="25"/>
      <c r="E9" s="1"/>
      <c r="G9" s="28">
        <v>4</v>
      </c>
      <c r="K9" s="5"/>
      <c r="L9" s="23"/>
    </row>
    <row r="10" spans="1:14" x14ac:dyDescent="0.2">
      <c r="A10" s="27"/>
      <c r="B10" s="25"/>
      <c r="C10" s="25"/>
      <c r="D10" s="29"/>
      <c r="E10" s="1"/>
      <c r="K10" s="5"/>
      <c r="L10" s="23"/>
    </row>
    <row r="11" spans="1:14" x14ac:dyDescent="0.2">
      <c r="A11" s="8" t="s">
        <v>100</v>
      </c>
      <c r="B11" s="8" t="s">
        <v>74</v>
      </c>
      <c r="C11" s="4"/>
      <c r="D11" s="4"/>
      <c r="E11" s="9"/>
    </row>
    <row r="12" spans="1:14" x14ac:dyDescent="0.2">
      <c r="A12" s="11"/>
      <c r="B12" s="11"/>
      <c r="E12" s="1"/>
    </row>
    <row r="13" spans="1:14" x14ac:dyDescent="0.2">
      <c r="A13" s="11" t="s">
        <v>55</v>
      </c>
      <c r="E13" s="1"/>
      <c r="G13" s="5" t="s">
        <v>56</v>
      </c>
    </row>
    <row r="14" spans="1:14" x14ac:dyDescent="0.2">
      <c r="A14" t="s">
        <v>75</v>
      </c>
      <c r="E14" s="1"/>
      <c r="G14" s="30">
        <v>0</v>
      </c>
      <c r="I14" t="s">
        <v>76</v>
      </c>
      <c r="L14" s="31">
        <f t="shared" ref="L14:L23" si="0">G14</f>
        <v>0</v>
      </c>
    </row>
    <row r="15" spans="1:14" x14ac:dyDescent="0.2">
      <c r="A15" t="s">
        <v>77</v>
      </c>
      <c r="E15" s="1"/>
      <c r="G15" s="30">
        <v>0</v>
      </c>
      <c r="I15" t="s">
        <v>76</v>
      </c>
      <c r="L15" s="31">
        <f t="shared" si="0"/>
        <v>0</v>
      </c>
    </row>
    <row r="16" spans="1:14" x14ac:dyDescent="0.2">
      <c r="A16" t="s">
        <v>78</v>
      </c>
      <c r="E16" s="1"/>
      <c r="G16" s="32">
        <v>0</v>
      </c>
      <c r="I16" t="s">
        <v>76</v>
      </c>
      <c r="L16" s="31">
        <f t="shared" si="0"/>
        <v>0</v>
      </c>
    </row>
    <row r="17" spans="1:12" x14ac:dyDescent="0.2">
      <c r="A17" t="s">
        <v>79</v>
      </c>
      <c r="E17" s="1"/>
      <c r="G17" s="30">
        <v>0</v>
      </c>
      <c r="I17" t="s">
        <v>76</v>
      </c>
      <c r="L17" s="31">
        <f t="shared" si="0"/>
        <v>0</v>
      </c>
    </row>
    <row r="18" spans="1:12" x14ac:dyDescent="0.2">
      <c r="A18" t="s">
        <v>80</v>
      </c>
      <c r="E18" s="1"/>
      <c r="G18" s="30">
        <v>0</v>
      </c>
      <c r="I18" t="s">
        <v>76</v>
      </c>
      <c r="L18" s="31">
        <f t="shared" si="0"/>
        <v>0</v>
      </c>
    </row>
    <row r="19" spans="1:12" x14ac:dyDescent="0.2">
      <c r="A19" t="s">
        <v>81</v>
      </c>
      <c r="E19" s="1"/>
      <c r="G19" s="30">
        <v>0</v>
      </c>
      <c r="I19" t="s">
        <v>76</v>
      </c>
      <c r="L19" s="31">
        <f t="shared" si="0"/>
        <v>0</v>
      </c>
    </row>
    <row r="20" spans="1:12" x14ac:dyDescent="0.2">
      <c r="A20" t="s">
        <v>82</v>
      </c>
      <c r="E20" s="1"/>
      <c r="G20" s="30">
        <v>0</v>
      </c>
      <c r="I20" t="s">
        <v>76</v>
      </c>
      <c r="L20" s="31">
        <f t="shared" si="0"/>
        <v>0</v>
      </c>
    </row>
    <row r="21" spans="1:12" x14ac:dyDescent="0.2">
      <c r="A21" s="13" t="s">
        <v>60</v>
      </c>
      <c r="E21" s="1"/>
      <c r="G21" s="30">
        <v>0</v>
      </c>
      <c r="I21" t="s">
        <v>76</v>
      </c>
      <c r="L21" s="31">
        <f t="shared" si="0"/>
        <v>0</v>
      </c>
    </row>
    <row r="22" spans="1:12" x14ac:dyDescent="0.2">
      <c r="A22" s="13" t="s">
        <v>60</v>
      </c>
      <c r="E22" s="1"/>
      <c r="G22" s="30">
        <v>0</v>
      </c>
      <c r="I22" t="s">
        <v>76</v>
      </c>
      <c r="L22" s="31">
        <f t="shared" si="0"/>
        <v>0</v>
      </c>
    </row>
    <row r="23" spans="1:12" x14ac:dyDescent="0.2">
      <c r="A23" s="13" t="s">
        <v>60</v>
      </c>
      <c r="E23" s="1"/>
      <c r="G23" s="30">
        <v>0</v>
      </c>
      <c r="I23" t="s">
        <v>76</v>
      </c>
      <c r="L23" s="31">
        <f t="shared" si="0"/>
        <v>0</v>
      </c>
    </row>
    <row r="24" spans="1:12" x14ac:dyDescent="0.2">
      <c r="E24" s="1"/>
      <c r="G24" s="1"/>
      <c r="K24" s="5" t="s">
        <v>83</v>
      </c>
      <c r="L24" s="33">
        <f>SUM(L14:L23)</f>
        <v>0</v>
      </c>
    </row>
    <row r="25" spans="1:12" x14ac:dyDescent="0.2">
      <c r="A25" s="11"/>
      <c r="B25" s="11"/>
      <c r="E25" s="1"/>
      <c r="L25" s="1"/>
    </row>
    <row r="26" spans="1:12" x14ac:dyDescent="0.2">
      <c r="A26" s="11" t="s">
        <v>55</v>
      </c>
      <c r="E26" s="1"/>
      <c r="G26" s="5" t="s">
        <v>56</v>
      </c>
    </row>
    <row r="27" spans="1:12" x14ac:dyDescent="0.2">
      <c r="A27" t="s">
        <v>84</v>
      </c>
      <c r="E27" s="1"/>
      <c r="G27" s="30">
        <v>0</v>
      </c>
      <c r="I27" t="s">
        <v>85</v>
      </c>
      <c r="L27" s="31">
        <f>G27/$G$9</f>
        <v>0</v>
      </c>
    </row>
    <row r="28" spans="1:12" x14ac:dyDescent="0.2">
      <c r="A28" t="s">
        <v>86</v>
      </c>
      <c r="D28" s="34"/>
      <c r="E28" s="35"/>
      <c r="G28" s="30">
        <v>0</v>
      </c>
      <c r="I28" t="s">
        <v>85</v>
      </c>
      <c r="L28" s="31">
        <f>G28/$G$9</f>
        <v>0</v>
      </c>
    </row>
    <row r="29" spans="1:12" x14ac:dyDescent="0.2">
      <c r="A29" t="s">
        <v>87</v>
      </c>
      <c r="E29" s="36" t="s">
        <v>88</v>
      </c>
    </row>
    <row r="30" spans="1:12" x14ac:dyDescent="0.2">
      <c r="E30" s="19">
        <v>0</v>
      </c>
      <c r="G30" s="30">
        <v>0</v>
      </c>
      <c r="I30" t="s">
        <v>89</v>
      </c>
      <c r="L30" s="31">
        <f>SUM(E30*G30)</f>
        <v>0</v>
      </c>
    </row>
    <row r="31" spans="1:12" x14ac:dyDescent="0.2">
      <c r="A31" t="s">
        <v>50</v>
      </c>
      <c r="D31" s="37" t="s">
        <v>90</v>
      </c>
      <c r="E31" s="37" t="s">
        <v>91</v>
      </c>
      <c r="G31" s="38"/>
      <c r="H31" s="10"/>
      <c r="I31" s="10"/>
      <c r="J31" s="10"/>
      <c r="K31" s="10"/>
      <c r="L31" s="39"/>
    </row>
    <row r="32" spans="1:12" x14ac:dyDescent="0.2">
      <c r="B32" t="s">
        <v>92</v>
      </c>
      <c r="D32" s="19">
        <v>0</v>
      </c>
      <c r="E32" s="19">
        <v>0</v>
      </c>
      <c r="G32" s="40">
        <f>SUM(D32+E32)*G9</f>
        <v>0</v>
      </c>
      <c r="I32" t="s">
        <v>85</v>
      </c>
      <c r="L32" s="41">
        <f>SUM(G32/G9)</f>
        <v>0</v>
      </c>
    </row>
    <row r="33" spans="1:12" x14ac:dyDescent="0.2">
      <c r="A33" t="s">
        <v>93</v>
      </c>
      <c r="E33" s="1"/>
      <c r="G33" s="30">
        <v>0</v>
      </c>
      <c r="I33" t="s">
        <v>85</v>
      </c>
      <c r="L33" s="31">
        <f>G33/$G$9</f>
        <v>0</v>
      </c>
    </row>
    <row r="34" spans="1:12" x14ac:dyDescent="0.2">
      <c r="A34" t="s">
        <v>94</v>
      </c>
      <c r="E34" s="1"/>
      <c r="G34" s="30">
        <v>0</v>
      </c>
      <c r="I34" t="s">
        <v>85</v>
      </c>
      <c r="L34" s="31">
        <f>G34/$G$9</f>
        <v>0</v>
      </c>
    </row>
    <row r="35" spans="1:12" x14ac:dyDescent="0.2">
      <c r="A35" t="s">
        <v>95</v>
      </c>
      <c r="E35" s="1"/>
      <c r="G35" s="30">
        <v>0</v>
      </c>
      <c r="I35" t="s">
        <v>85</v>
      </c>
      <c r="L35" s="31">
        <f>G35/$G$9</f>
        <v>0</v>
      </c>
    </row>
    <row r="36" spans="1:12" x14ac:dyDescent="0.2">
      <c r="A36" t="s">
        <v>96</v>
      </c>
      <c r="E36" s="1"/>
      <c r="G36" s="30">
        <v>0</v>
      </c>
      <c r="I36" t="s">
        <v>85</v>
      </c>
      <c r="L36" s="31">
        <f>G36/$G$9</f>
        <v>0</v>
      </c>
    </row>
    <row r="37" spans="1:12" x14ac:dyDescent="0.2">
      <c r="A37" t="s">
        <v>97</v>
      </c>
      <c r="E37" s="37" t="s">
        <v>98</v>
      </c>
    </row>
    <row r="38" spans="1:12" x14ac:dyDescent="0.2">
      <c r="A38" s="21" t="s">
        <v>32</v>
      </c>
      <c r="B38" s="21"/>
      <c r="E38" s="19">
        <v>8</v>
      </c>
      <c r="G38" s="42">
        <v>500</v>
      </c>
      <c r="I38" t="s">
        <v>85</v>
      </c>
      <c r="L38" s="40">
        <f>SUM(G38/E38)/G9</f>
        <v>15.625</v>
      </c>
    </row>
    <row r="39" spans="1:12" x14ac:dyDescent="0.2">
      <c r="A39" s="13" t="s">
        <v>60</v>
      </c>
      <c r="E39" s="1"/>
      <c r="G39" s="30">
        <v>0</v>
      </c>
      <c r="I39" t="s">
        <v>85</v>
      </c>
      <c r="L39" s="31">
        <f>G39/$G$9</f>
        <v>0</v>
      </c>
    </row>
    <row r="40" spans="1:12" x14ac:dyDescent="0.2">
      <c r="A40" s="13" t="s">
        <v>60</v>
      </c>
      <c r="E40" s="1"/>
      <c r="G40" s="30">
        <v>0</v>
      </c>
      <c r="I40" t="s">
        <v>85</v>
      </c>
      <c r="L40" s="31">
        <f>G40/$G$9</f>
        <v>0</v>
      </c>
    </row>
    <row r="41" spans="1:12" x14ac:dyDescent="0.2">
      <c r="A41" s="13" t="s">
        <v>60</v>
      </c>
      <c r="E41" s="1"/>
      <c r="G41" s="30">
        <v>0</v>
      </c>
      <c r="I41" t="s">
        <v>85</v>
      </c>
      <c r="L41" s="31">
        <f>G41/$G$9</f>
        <v>0</v>
      </c>
    </row>
    <row r="42" spans="1:12" x14ac:dyDescent="0.2">
      <c r="E42" s="1"/>
      <c r="G42" s="1"/>
      <c r="I42" s="5" t="s">
        <v>83</v>
      </c>
      <c r="L42" s="33">
        <f>SUM(L27:L41)</f>
        <v>15.625</v>
      </c>
    </row>
    <row r="43" spans="1:12" x14ac:dyDescent="0.2">
      <c r="E43" s="1"/>
      <c r="L43" s="43"/>
    </row>
    <row r="44" spans="1:12" x14ac:dyDescent="0.2">
      <c r="E44" s="1"/>
      <c r="G44" s="1"/>
      <c r="J44" s="5" t="s">
        <v>43</v>
      </c>
      <c r="L44" s="33">
        <f>L24+L42</f>
        <v>15.625</v>
      </c>
    </row>
    <row r="45" spans="1:12" x14ac:dyDescent="0.2">
      <c r="E45" s="1"/>
    </row>
    <row r="46" spans="1:12" x14ac:dyDescent="0.2">
      <c r="E46" s="1"/>
    </row>
    <row r="47" spans="1:12" x14ac:dyDescent="0.2">
      <c r="A47" s="44" t="s">
        <v>14</v>
      </c>
      <c r="B47" s="8" t="s">
        <v>16</v>
      </c>
      <c r="C47" s="4"/>
      <c r="E47" s="1"/>
      <c r="G47" s="45">
        <v>0.5</v>
      </c>
    </row>
    <row r="48" spans="1:12" x14ac:dyDescent="0.2">
      <c r="E48" s="1"/>
    </row>
    <row r="49" spans="1:12" x14ac:dyDescent="0.2">
      <c r="A49" s="8" t="s">
        <v>157</v>
      </c>
      <c r="B49" s="8" t="s">
        <v>101</v>
      </c>
      <c r="C49" s="8"/>
      <c r="D49" s="8"/>
      <c r="E49" s="24"/>
      <c r="F49" s="11"/>
      <c r="G49" s="11"/>
    </row>
    <row r="50" spans="1:12" x14ac:dyDescent="0.2">
      <c r="E50" s="1"/>
      <c r="K50" s="11" t="s">
        <v>39</v>
      </c>
      <c r="L50" s="33">
        <f>' Fixed Expenses'!L66</f>
        <v>10.633512432837685</v>
      </c>
    </row>
    <row r="51" spans="1:12" x14ac:dyDescent="0.2">
      <c r="E51" s="1"/>
    </row>
    <row r="52" spans="1:12" x14ac:dyDescent="0.2">
      <c r="C52" s="5" t="s">
        <v>42</v>
      </c>
      <c r="D52" s="33">
        <f>SUM(L50*H53)</f>
        <v>0.42992637868615974</v>
      </c>
      <c r="E52" s="1"/>
      <c r="K52" s="5" t="s">
        <v>102</v>
      </c>
      <c r="L52" s="33">
        <f>D54</f>
        <v>16.054926378686158</v>
      </c>
    </row>
    <row r="53" spans="1:12" x14ac:dyDescent="0.2">
      <c r="C53" s="5" t="s">
        <v>43</v>
      </c>
      <c r="D53" s="33">
        <f>L44</f>
        <v>15.625</v>
      </c>
      <c r="E53" s="8" t="s">
        <v>103</v>
      </c>
      <c r="H53" s="46">
        <f>SUM(G8/' Fixed Expenses'!L3)</f>
        <v>4.0431266846361183E-2</v>
      </c>
      <c r="K53" s="5" t="s">
        <v>104</v>
      </c>
      <c r="L53" s="33">
        <f>L52*G47</f>
        <v>8.027463189343079</v>
      </c>
    </row>
    <row r="54" spans="1:12" x14ac:dyDescent="0.2">
      <c r="C54" s="5" t="s">
        <v>102</v>
      </c>
      <c r="D54" s="33">
        <f>D52+D53</f>
        <v>16.054926378686158</v>
      </c>
      <c r="E54" s="1"/>
      <c r="K54" s="5" t="s">
        <v>105</v>
      </c>
      <c r="L54" s="33">
        <f>L52+L53</f>
        <v>24.082389568029235</v>
      </c>
    </row>
    <row r="55" spans="1:12" x14ac:dyDescent="0.2">
      <c r="E55" s="1"/>
    </row>
    <row r="56" spans="1:12" x14ac:dyDescent="0.2">
      <c r="E56" s="1"/>
    </row>
    <row r="57" spans="1:12" x14ac:dyDescent="0.2">
      <c r="A57" s="8" t="s">
        <v>163</v>
      </c>
      <c r="B57" s="8" t="s">
        <v>15</v>
      </c>
      <c r="C57" s="8"/>
      <c r="D57" s="8"/>
      <c r="L57" s="10"/>
    </row>
    <row r="58" spans="1:12" x14ac:dyDescent="0.2">
      <c r="L58" s="81"/>
    </row>
    <row r="59" spans="1:12" x14ac:dyDescent="0.2">
      <c r="J59" s="76"/>
      <c r="K59" s="5" t="s">
        <v>17</v>
      </c>
      <c r="L59" s="52">
        <f>L52</f>
        <v>16.054926378686158</v>
      </c>
    </row>
    <row r="61" spans="1:12" x14ac:dyDescent="0.2">
      <c r="F61" s="5" t="s">
        <v>165</v>
      </c>
      <c r="G61" s="80">
        <v>0</v>
      </c>
      <c r="H61" s="91" t="s">
        <v>35</v>
      </c>
      <c r="I61" s="18"/>
    </row>
    <row r="62" spans="1:12" x14ac:dyDescent="0.2">
      <c r="F62" s="5" t="s">
        <v>162</v>
      </c>
      <c r="G62" s="79">
        <f>SUM(L62/L59)</f>
        <v>-1</v>
      </c>
      <c r="J62" s="76"/>
      <c r="K62" s="5" t="s">
        <v>18</v>
      </c>
      <c r="L62" s="52">
        <f>SUM(G61-L59)</f>
        <v>-16.054926378686158</v>
      </c>
    </row>
    <row r="63" spans="1:12" x14ac:dyDescent="0.2">
      <c r="L63" s="10"/>
    </row>
    <row r="64" spans="1:12" x14ac:dyDescent="0.2">
      <c r="A64" s="8" t="s">
        <v>164</v>
      </c>
      <c r="B64" s="8" t="s">
        <v>158</v>
      </c>
      <c r="C64" s="8"/>
      <c r="D64" s="8"/>
      <c r="L64" s="10"/>
    </row>
    <row r="65" spans="6:12" x14ac:dyDescent="0.2">
      <c r="L65" s="10"/>
    </row>
    <row r="66" spans="6:12" x14ac:dyDescent="0.2">
      <c r="F66" s="5" t="s">
        <v>18</v>
      </c>
      <c r="G66" s="77">
        <f>L62</f>
        <v>-16.054926378686158</v>
      </c>
      <c r="L66" s="10"/>
    </row>
    <row r="67" spans="6:12" x14ac:dyDescent="0.2">
      <c r="F67" s="5" t="s">
        <v>159</v>
      </c>
      <c r="G67" s="74">
        <f>G8</f>
        <v>15</v>
      </c>
      <c r="L67" s="10"/>
    </row>
    <row r="68" spans="6:12" x14ac:dyDescent="0.2">
      <c r="L68" s="10"/>
    </row>
    <row r="69" spans="6:12" x14ac:dyDescent="0.2">
      <c r="F69" s="5" t="s">
        <v>160</v>
      </c>
      <c r="G69" s="78">
        <f>SUM(G67*G66)</f>
        <v>-240.82389568029237</v>
      </c>
    </row>
  </sheetData>
  <phoneticPr fontId="0" type="noConversion"/>
  <pageMargins left="0.75" right="0.75" top="1" bottom="1" header="0.5" footer="0.5"/>
  <pageSetup orientation="landscape" horizontalDpi="360" verticalDpi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41499-3285-4AD3-B19E-E8B30753CEFA}">
  <sheetPr codeName="Sheet8"/>
  <dimension ref="A2:N69"/>
  <sheetViews>
    <sheetView workbookViewId="0">
      <selection activeCell="C2" sqref="C2"/>
    </sheetView>
  </sheetViews>
  <sheetFormatPr defaultColWidth="8.85546875" defaultRowHeight="12.75" x14ac:dyDescent="0.2"/>
  <cols>
    <col min="1" max="5" width="8.85546875" customWidth="1"/>
    <col min="6" max="6" width="10.28515625" customWidth="1"/>
    <col min="7" max="7" width="10.7109375" customWidth="1"/>
    <col min="8" max="10" width="8.85546875" customWidth="1"/>
    <col min="11" max="11" width="16.140625" customWidth="1"/>
  </cols>
  <sheetData>
    <row r="2" spans="1:14" x14ac:dyDescent="0.2">
      <c r="A2" s="11" t="s">
        <v>9</v>
      </c>
      <c r="B2" s="11"/>
      <c r="C2" s="3" t="str">
        <f>'Data Entry'!E14</f>
        <v>Rescue</v>
      </c>
      <c r="D2" s="3"/>
    </row>
    <row r="3" spans="1:14" x14ac:dyDescent="0.2">
      <c r="E3" s="1"/>
      <c r="I3" s="5"/>
      <c r="J3" s="23"/>
      <c r="M3" s="49"/>
      <c r="N3" s="49"/>
    </row>
    <row r="4" spans="1:14" x14ac:dyDescent="0.2">
      <c r="E4" s="1"/>
      <c r="I4" s="5"/>
      <c r="J4" s="23"/>
    </row>
    <row r="5" spans="1:14" x14ac:dyDescent="0.2">
      <c r="A5" s="8" t="s">
        <v>99</v>
      </c>
      <c r="B5" s="8" t="s">
        <v>70</v>
      </c>
      <c r="C5" s="8"/>
      <c r="D5" s="8"/>
      <c r="E5" s="24"/>
      <c r="I5" s="5"/>
      <c r="J5" s="23"/>
    </row>
    <row r="6" spans="1:14" x14ac:dyDescent="0.2">
      <c r="A6" s="8"/>
      <c r="B6" s="8"/>
      <c r="C6" s="8"/>
      <c r="D6" s="8"/>
      <c r="E6" s="24"/>
      <c r="I6" s="5"/>
      <c r="J6" s="23"/>
    </row>
    <row r="7" spans="1:14" x14ac:dyDescent="0.2">
      <c r="A7" s="25" t="s">
        <v>106</v>
      </c>
      <c r="B7" s="4"/>
      <c r="C7" s="4"/>
      <c r="E7" s="24"/>
      <c r="G7" s="26" t="s">
        <v>10</v>
      </c>
      <c r="I7" s="5"/>
      <c r="J7" s="23"/>
      <c r="K7" s="5" t="s">
        <v>52</v>
      </c>
      <c r="L7" s="3">
        <f>'Data Entry'!G21</f>
        <v>371</v>
      </c>
    </row>
    <row r="8" spans="1:14" x14ac:dyDescent="0.2">
      <c r="A8" s="27" t="s">
        <v>71</v>
      </c>
      <c r="B8" s="25"/>
      <c r="C8" s="25"/>
      <c r="E8" s="24"/>
      <c r="G8" s="50">
        <f>'Data Entry'!G14</f>
        <v>9</v>
      </c>
      <c r="H8" s="59" t="s">
        <v>33</v>
      </c>
      <c r="I8" s="5"/>
      <c r="J8" s="23"/>
    </row>
    <row r="9" spans="1:14" x14ac:dyDescent="0.2">
      <c r="A9" s="27" t="s">
        <v>72</v>
      </c>
      <c r="B9" s="25"/>
      <c r="C9" s="25"/>
      <c r="E9" s="1"/>
      <c r="G9" s="28">
        <v>3</v>
      </c>
      <c r="K9" s="5"/>
      <c r="L9" s="23"/>
    </row>
    <row r="10" spans="1:14" x14ac:dyDescent="0.2">
      <c r="A10" s="27"/>
      <c r="B10" s="25"/>
      <c r="C10" s="25"/>
      <c r="D10" s="29"/>
      <c r="E10" s="1"/>
      <c r="K10" s="5"/>
      <c r="L10" s="23"/>
    </row>
    <row r="11" spans="1:14" x14ac:dyDescent="0.2">
      <c r="A11" s="8" t="s">
        <v>100</v>
      </c>
      <c r="B11" s="8" t="s">
        <v>74</v>
      </c>
      <c r="C11" s="4"/>
      <c r="D11" s="4"/>
      <c r="E11" s="9"/>
    </row>
    <row r="12" spans="1:14" x14ac:dyDescent="0.2">
      <c r="A12" s="11"/>
      <c r="B12" s="11"/>
      <c r="E12" s="1"/>
    </row>
    <row r="13" spans="1:14" x14ac:dyDescent="0.2">
      <c r="A13" s="11" t="s">
        <v>55</v>
      </c>
      <c r="E13" s="1"/>
      <c r="G13" s="5" t="s">
        <v>56</v>
      </c>
    </row>
    <row r="14" spans="1:14" x14ac:dyDescent="0.2">
      <c r="A14" t="s">
        <v>75</v>
      </c>
      <c r="E14" s="1"/>
      <c r="G14" s="30">
        <v>0</v>
      </c>
      <c r="I14" t="s">
        <v>76</v>
      </c>
      <c r="L14" s="31">
        <f t="shared" ref="L14:L23" si="0">G14</f>
        <v>0</v>
      </c>
    </row>
    <row r="15" spans="1:14" x14ac:dyDescent="0.2">
      <c r="A15" t="s">
        <v>77</v>
      </c>
      <c r="E15" s="1"/>
      <c r="G15" s="30">
        <v>0</v>
      </c>
      <c r="I15" t="s">
        <v>76</v>
      </c>
      <c r="L15" s="31">
        <f t="shared" si="0"/>
        <v>0</v>
      </c>
    </row>
    <row r="16" spans="1:14" x14ac:dyDescent="0.2">
      <c r="A16" t="s">
        <v>78</v>
      </c>
      <c r="E16" s="1"/>
      <c r="G16" s="32">
        <v>0</v>
      </c>
      <c r="I16" t="s">
        <v>76</v>
      </c>
      <c r="L16" s="31">
        <f t="shared" si="0"/>
        <v>0</v>
      </c>
    </row>
    <row r="17" spans="1:12" x14ac:dyDescent="0.2">
      <c r="A17" t="s">
        <v>79</v>
      </c>
      <c r="E17" s="1"/>
      <c r="G17" s="30">
        <v>0</v>
      </c>
      <c r="I17" t="s">
        <v>76</v>
      </c>
      <c r="L17" s="31">
        <f t="shared" si="0"/>
        <v>0</v>
      </c>
    </row>
    <row r="18" spans="1:12" x14ac:dyDescent="0.2">
      <c r="A18" t="s">
        <v>80</v>
      </c>
      <c r="E18" s="1"/>
      <c r="G18" s="30">
        <v>0</v>
      </c>
      <c r="I18" t="s">
        <v>76</v>
      </c>
      <c r="L18" s="31">
        <f t="shared" si="0"/>
        <v>0</v>
      </c>
    </row>
    <row r="19" spans="1:12" x14ac:dyDescent="0.2">
      <c r="A19" t="s">
        <v>81</v>
      </c>
      <c r="E19" s="1"/>
      <c r="G19" s="30">
        <v>0</v>
      </c>
      <c r="I19" t="s">
        <v>76</v>
      </c>
      <c r="L19" s="31">
        <f t="shared" si="0"/>
        <v>0</v>
      </c>
    </row>
    <row r="20" spans="1:12" x14ac:dyDescent="0.2">
      <c r="A20" t="s">
        <v>82</v>
      </c>
      <c r="E20" s="1"/>
      <c r="G20" s="30">
        <v>0</v>
      </c>
      <c r="I20" t="s">
        <v>76</v>
      </c>
      <c r="L20" s="31">
        <f t="shared" si="0"/>
        <v>0</v>
      </c>
    </row>
    <row r="21" spans="1:12" x14ac:dyDescent="0.2">
      <c r="A21" s="13" t="s">
        <v>60</v>
      </c>
      <c r="E21" s="1"/>
      <c r="G21" s="30">
        <v>0</v>
      </c>
      <c r="I21" t="s">
        <v>76</v>
      </c>
      <c r="L21" s="31">
        <f t="shared" si="0"/>
        <v>0</v>
      </c>
    </row>
    <row r="22" spans="1:12" x14ac:dyDescent="0.2">
      <c r="A22" s="13" t="s">
        <v>60</v>
      </c>
      <c r="E22" s="1"/>
      <c r="G22" s="30">
        <v>0</v>
      </c>
      <c r="I22" t="s">
        <v>76</v>
      </c>
      <c r="L22" s="31">
        <f t="shared" si="0"/>
        <v>0</v>
      </c>
    </row>
    <row r="23" spans="1:12" x14ac:dyDescent="0.2">
      <c r="A23" s="13" t="s">
        <v>60</v>
      </c>
      <c r="E23" s="1"/>
      <c r="G23" s="30">
        <v>0</v>
      </c>
      <c r="I23" t="s">
        <v>76</v>
      </c>
      <c r="L23" s="31">
        <f t="shared" si="0"/>
        <v>0</v>
      </c>
    </row>
    <row r="24" spans="1:12" x14ac:dyDescent="0.2">
      <c r="E24" s="1"/>
      <c r="G24" s="1"/>
      <c r="K24" s="5" t="s">
        <v>83</v>
      </c>
      <c r="L24" s="33">
        <f>SUM(L14:L23)</f>
        <v>0</v>
      </c>
    </row>
    <row r="25" spans="1:12" x14ac:dyDescent="0.2">
      <c r="A25" s="11"/>
      <c r="B25" s="11"/>
      <c r="E25" s="1"/>
      <c r="L25" s="1"/>
    </row>
    <row r="26" spans="1:12" x14ac:dyDescent="0.2">
      <c r="A26" s="11" t="s">
        <v>55</v>
      </c>
      <c r="E26" s="1"/>
      <c r="G26" s="5" t="s">
        <v>56</v>
      </c>
    </row>
    <row r="27" spans="1:12" x14ac:dyDescent="0.2">
      <c r="A27" t="s">
        <v>84</v>
      </c>
      <c r="E27" s="1"/>
      <c r="G27" s="30">
        <v>15</v>
      </c>
      <c r="I27" t="s">
        <v>85</v>
      </c>
      <c r="L27" s="31">
        <f>G27/$G$9</f>
        <v>5</v>
      </c>
    </row>
    <row r="28" spans="1:12" x14ac:dyDescent="0.2">
      <c r="A28" t="s">
        <v>86</v>
      </c>
      <c r="D28" s="34"/>
      <c r="E28" s="35"/>
      <c r="G28" s="30">
        <v>0</v>
      </c>
      <c r="I28" t="s">
        <v>85</v>
      </c>
      <c r="L28" s="31">
        <f>G28/$G$9</f>
        <v>0</v>
      </c>
    </row>
    <row r="29" spans="1:12" x14ac:dyDescent="0.2">
      <c r="A29" t="s">
        <v>87</v>
      </c>
      <c r="E29" s="36" t="s">
        <v>88</v>
      </c>
    </row>
    <row r="30" spans="1:12" x14ac:dyDescent="0.2">
      <c r="E30" s="19">
        <v>4</v>
      </c>
      <c r="G30" s="30">
        <v>1.5</v>
      </c>
      <c r="I30" t="s">
        <v>89</v>
      </c>
      <c r="L30" s="31">
        <f>SUM(E30*G30)</f>
        <v>6</v>
      </c>
    </row>
    <row r="31" spans="1:12" x14ac:dyDescent="0.2">
      <c r="A31" t="s">
        <v>50</v>
      </c>
      <c r="D31" s="37" t="s">
        <v>90</v>
      </c>
      <c r="E31" s="37" t="s">
        <v>91</v>
      </c>
      <c r="G31" s="38"/>
      <c r="H31" s="10"/>
      <c r="I31" s="10"/>
      <c r="J31" s="10"/>
      <c r="K31" s="10"/>
      <c r="L31" s="39"/>
    </row>
    <row r="32" spans="1:12" x14ac:dyDescent="0.2">
      <c r="B32" t="s">
        <v>92</v>
      </c>
      <c r="D32" s="19">
        <v>0</v>
      </c>
      <c r="E32" s="19">
        <v>0</v>
      </c>
      <c r="G32" s="40">
        <f>SUM(D32+E32)*G9</f>
        <v>0</v>
      </c>
      <c r="I32" t="s">
        <v>85</v>
      </c>
      <c r="L32" s="41">
        <f>SUM(G32/G9)</f>
        <v>0</v>
      </c>
    </row>
    <row r="33" spans="1:12" x14ac:dyDescent="0.2">
      <c r="A33" t="s">
        <v>93</v>
      </c>
      <c r="E33" s="1"/>
      <c r="G33" s="30">
        <v>0</v>
      </c>
      <c r="I33" t="s">
        <v>85</v>
      </c>
      <c r="L33" s="31">
        <f>G33/$G$9</f>
        <v>0</v>
      </c>
    </row>
    <row r="34" spans="1:12" x14ac:dyDescent="0.2">
      <c r="A34" t="s">
        <v>94</v>
      </c>
      <c r="E34" s="1"/>
      <c r="G34" s="30">
        <v>0</v>
      </c>
      <c r="I34" t="s">
        <v>85</v>
      </c>
      <c r="L34" s="31">
        <f>G34/$G$9</f>
        <v>0</v>
      </c>
    </row>
    <row r="35" spans="1:12" x14ac:dyDescent="0.2">
      <c r="A35" t="s">
        <v>95</v>
      </c>
      <c r="E35" s="1"/>
      <c r="G35" s="30">
        <v>0</v>
      </c>
      <c r="I35" t="s">
        <v>85</v>
      </c>
      <c r="L35" s="31">
        <f>G35/$G$9</f>
        <v>0</v>
      </c>
    </row>
    <row r="36" spans="1:12" x14ac:dyDescent="0.2">
      <c r="A36" t="s">
        <v>96</v>
      </c>
      <c r="E36" s="1"/>
      <c r="G36" s="30">
        <v>0</v>
      </c>
      <c r="I36" t="s">
        <v>85</v>
      </c>
      <c r="L36" s="31">
        <f>G36/$G$9</f>
        <v>0</v>
      </c>
    </row>
    <row r="37" spans="1:12" x14ac:dyDescent="0.2">
      <c r="A37" t="s">
        <v>97</v>
      </c>
      <c r="E37" s="37" t="s">
        <v>98</v>
      </c>
    </row>
    <row r="38" spans="1:12" x14ac:dyDescent="0.2">
      <c r="E38" s="19">
        <v>1</v>
      </c>
      <c r="G38" s="42">
        <v>0</v>
      </c>
      <c r="I38" t="s">
        <v>85</v>
      </c>
      <c r="L38" s="40">
        <f>SUM(G38/E38)/G9</f>
        <v>0</v>
      </c>
    </row>
    <row r="39" spans="1:12" x14ac:dyDescent="0.2">
      <c r="A39" s="13" t="s">
        <v>60</v>
      </c>
      <c r="E39" s="1"/>
      <c r="G39" s="30">
        <v>0</v>
      </c>
      <c r="I39" t="s">
        <v>85</v>
      </c>
      <c r="L39" s="31">
        <f>G39/$G$9</f>
        <v>0</v>
      </c>
    </row>
    <row r="40" spans="1:12" x14ac:dyDescent="0.2">
      <c r="A40" s="13" t="s">
        <v>60</v>
      </c>
      <c r="E40" s="1"/>
      <c r="G40" s="30">
        <v>0</v>
      </c>
      <c r="I40" t="s">
        <v>85</v>
      </c>
      <c r="L40" s="31">
        <f>G40/$G$9</f>
        <v>0</v>
      </c>
    </row>
    <row r="41" spans="1:12" x14ac:dyDescent="0.2">
      <c r="A41" s="13" t="s">
        <v>60</v>
      </c>
      <c r="E41" s="1"/>
      <c r="G41" s="30">
        <v>0</v>
      </c>
      <c r="I41" t="s">
        <v>85</v>
      </c>
      <c r="L41" s="31">
        <f>G41/$G$9</f>
        <v>0</v>
      </c>
    </row>
    <row r="42" spans="1:12" x14ac:dyDescent="0.2">
      <c r="E42" s="1"/>
      <c r="G42" s="1"/>
      <c r="I42" s="5" t="s">
        <v>83</v>
      </c>
      <c r="L42" s="33">
        <f>SUM(L27:L41)</f>
        <v>11</v>
      </c>
    </row>
    <row r="43" spans="1:12" x14ac:dyDescent="0.2">
      <c r="E43" s="1"/>
      <c r="L43" s="43"/>
    </row>
    <row r="44" spans="1:12" x14ac:dyDescent="0.2">
      <c r="E44" s="1"/>
      <c r="G44" s="1"/>
      <c r="J44" s="5" t="s">
        <v>43</v>
      </c>
      <c r="L44" s="33">
        <f>L24+L42</f>
        <v>11</v>
      </c>
    </row>
    <row r="45" spans="1:12" x14ac:dyDescent="0.2">
      <c r="E45" s="1"/>
    </row>
    <row r="46" spans="1:12" x14ac:dyDescent="0.2">
      <c r="E46" s="1"/>
    </row>
    <row r="47" spans="1:12" x14ac:dyDescent="0.2">
      <c r="A47" s="44" t="s">
        <v>14</v>
      </c>
      <c r="B47" s="8" t="s">
        <v>16</v>
      </c>
      <c r="C47" s="4"/>
      <c r="E47" s="1"/>
      <c r="G47" s="45">
        <v>0.25</v>
      </c>
    </row>
    <row r="48" spans="1:12" x14ac:dyDescent="0.2">
      <c r="E48" s="1"/>
    </row>
    <row r="49" spans="1:12" x14ac:dyDescent="0.2">
      <c r="A49" s="8" t="s">
        <v>157</v>
      </c>
      <c r="B49" s="8" t="s">
        <v>101</v>
      </c>
      <c r="C49" s="8"/>
      <c r="D49" s="8"/>
      <c r="E49" s="24"/>
      <c r="F49" s="11"/>
      <c r="G49" s="11"/>
    </row>
    <row r="50" spans="1:12" x14ac:dyDescent="0.2">
      <c r="E50" s="1"/>
      <c r="K50" s="11" t="s">
        <v>39</v>
      </c>
      <c r="L50" s="33">
        <f>' Fixed Expenses'!L66</f>
        <v>10.633512432837685</v>
      </c>
    </row>
    <row r="51" spans="1:12" x14ac:dyDescent="0.2">
      <c r="E51" s="1"/>
    </row>
    <row r="52" spans="1:12" x14ac:dyDescent="0.2">
      <c r="C52" s="5" t="s">
        <v>42</v>
      </c>
      <c r="D52" s="33">
        <f>SUM(L50*H53)</f>
        <v>0.25795582721169585</v>
      </c>
      <c r="E52" s="1"/>
      <c r="K52" s="5" t="s">
        <v>102</v>
      </c>
      <c r="L52" s="33">
        <f>D54</f>
        <v>11.257955827211696</v>
      </c>
    </row>
    <row r="53" spans="1:12" x14ac:dyDescent="0.2">
      <c r="C53" s="5" t="s">
        <v>43</v>
      </c>
      <c r="D53" s="33">
        <f>L44</f>
        <v>11</v>
      </c>
      <c r="E53" s="8" t="s">
        <v>103</v>
      </c>
      <c r="H53" s="46">
        <f>SUM(G8/' Fixed Expenses'!L3)</f>
        <v>2.4258760107816711E-2</v>
      </c>
      <c r="K53" s="5" t="s">
        <v>104</v>
      </c>
      <c r="L53" s="33">
        <f>L52*G47</f>
        <v>2.8144889568029239</v>
      </c>
    </row>
    <row r="54" spans="1:12" x14ac:dyDescent="0.2">
      <c r="C54" s="5" t="s">
        <v>102</v>
      </c>
      <c r="D54" s="33">
        <f>D52+D53</f>
        <v>11.257955827211696</v>
      </c>
      <c r="E54" s="1"/>
      <c r="K54" s="5" t="s">
        <v>105</v>
      </c>
      <c r="L54" s="33">
        <f>L52+L53</f>
        <v>14.072444784014619</v>
      </c>
    </row>
    <row r="55" spans="1:12" x14ac:dyDescent="0.2">
      <c r="E55" s="1"/>
    </row>
    <row r="56" spans="1:12" x14ac:dyDescent="0.2">
      <c r="E56" s="1"/>
    </row>
    <row r="57" spans="1:12" x14ac:dyDescent="0.2">
      <c r="A57" s="8" t="s">
        <v>163</v>
      </c>
      <c r="B57" s="8" t="s">
        <v>15</v>
      </c>
      <c r="C57" s="8"/>
      <c r="D57" s="8"/>
      <c r="L57" s="10"/>
    </row>
    <row r="58" spans="1:12" x14ac:dyDescent="0.2">
      <c r="L58" s="81"/>
    </row>
    <row r="59" spans="1:12" x14ac:dyDescent="0.2">
      <c r="J59" s="76"/>
      <c r="K59" s="5" t="s">
        <v>17</v>
      </c>
      <c r="L59" s="52">
        <f>L52</f>
        <v>11.257955827211696</v>
      </c>
    </row>
    <row r="61" spans="1:12" x14ac:dyDescent="0.2">
      <c r="F61" s="5" t="s">
        <v>165</v>
      </c>
      <c r="G61" s="80">
        <v>0</v>
      </c>
      <c r="H61" s="91" t="s">
        <v>35</v>
      </c>
    </row>
    <row r="62" spans="1:12" x14ac:dyDescent="0.2">
      <c r="F62" s="5" t="s">
        <v>162</v>
      </c>
      <c r="G62" s="79">
        <f>SUM(L62/L59)</f>
        <v>-1</v>
      </c>
      <c r="J62" s="76"/>
      <c r="K62" s="5" t="s">
        <v>18</v>
      </c>
      <c r="L62" s="52">
        <f>SUM(G61-L59)</f>
        <v>-11.257955827211696</v>
      </c>
    </row>
    <row r="63" spans="1:12" x14ac:dyDescent="0.2">
      <c r="L63" s="10"/>
    </row>
    <row r="64" spans="1:12" x14ac:dyDescent="0.2">
      <c r="A64" s="8" t="s">
        <v>164</v>
      </c>
      <c r="B64" s="8" t="s">
        <v>158</v>
      </c>
      <c r="C64" s="8"/>
      <c r="D64" s="8"/>
      <c r="L64" s="10"/>
    </row>
    <row r="65" spans="6:12" x14ac:dyDescent="0.2">
      <c r="L65" s="10"/>
    </row>
    <row r="66" spans="6:12" x14ac:dyDescent="0.2">
      <c r="F66" s="5" t="s">
        <v>18</v>
      </c>
      <c r="G66" s="77">
        <f>L62</f>
        <v>-11.257955827211696</v>
      </c>
      <c r="L66" s="10"/>
    </row>
    <row r="67" spans="6:12" x14ac:dyDescent="0.2">
      <c r="F67" s="5" t="s">
        <v>159</v>
      </c>
      <c r="G67" s="74">
        <f>G8</f>
        <v>9</v>
      </c>
      <c r="L67" s="10"/>
    </row>
    <row r="68" spans="6:12" x14ac:dyDescent="0.2">
      <c r="L68" s="10"/>
    </row>
    <row r="69" spans="6:12" x14ac:dyDescent="0.2">
      <c r="F69" s="5" t="s">
        <v>160</v>
      </c>
      <c r="G69" s="78">
        <f>SUM(G67*G66)</f>
        <v>-101.32160244490527</v>
      </c>
    </row>
  </sheetData>
  <phoneticPr fontId="0" type="noConversion"/>
  <pageMargins left="0.75" right="0.75" top="1" bottom="1" header="0.5" footer="0.5"/>
  <pageSetup orientation="landscape" horizontalDpi="360" verticalDpi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07BA4-2B2D-4626-87E8-499ED51D815E}">
  <sheetPr codeName="Sheet9"/>
  <dimension ref="A2:N69"/>
  <sheetViews>
    <sheetView workbookViewId="0">
      <selection activeCell="G62" sqref="G62"/>
    </sheetView>
  </sheetViews>
  <sheetFormatPr defaultColWidth="8.85546875" defaultRowHeight="12.75" x14ac:dyDescent="0.2"/>
  <cols>
    <col min="1" max="5" width="8.85546875" customWidth="1"/>
    <col min="6" max="6" width="10.7109375" customWidth="1"/>
    <col min="7" max="7" width="11.42578125" customWidth="1"/>
    <col min="8" max="10" width="8.85546875" customWidth="1"/>
    <col min="11" max="11" width="17" customWidth="1"/>
  </cols>
  <sheetData>
    <row r="2" spans="1:14" x14ac:dyDescent="0.2">
      <c r="A2" s="11" t="s">
        <v>9</v>
      </c>
      <c r="B2" s="11"/>
      <c r="C2" s="3" t="str">
        <f>'Data Entry'!E16</f>
        <v>Divemaster</v>
      </c>
      <c r="D2" s="3"/>
    </row>
    <row r="3" spans="1:14" x14ac:dyDescent="0.2">
      <c r="E3" s="1"/>
      <c r="I3" s="5"/>
      <c r="J3" s="23"/>
      <c r="M3" s="85"/>
      <c r="N3" s="49"/>
    </row>
    <row r="4" spans="1:14" x14ac:dyDescent="0.2">
      <c r="E4" s="1"/>
      <c r="I4" s="5"/>
      <c r="J4" s="23"/>
    </row>
    <row r="5" spans="1:14" x14ac:dyDescent="0.2">
      <c r="A5" s="8" t="s">
        <v>99</v>
      </c>
      <c r="B5" s="8" t="s">
        <v>70</v>
      </c>
      <c r="C5" s="8"/>
      <c r="D5" s="8"/>
      <c r="E5" s="24"/>
      <c r="I5" s="5"/>
      <c r="J5" s="23"/>
    </row>
    <row r="6" spans="1:14" x14ac:dyDescent="0.2">
      <c r="A6" s="8"/>
      <c r="B6" s="8"/>
      <c r="C6" s="8"/>
      <c r="D6" s="8"/>
      <c r="E6" s="24"/>
      <c r="I6" s="5"/>
      <c r="J6" s="23"/>
    </row>
    <row r="7" spans="1:14" x14ac:dyDescent="0.2">
      <c r="A7" s="25" t="s">
        <v>106</v>
      </c>
      <c r="B7" s="4"/>
      <c r="C7" s="4"/>
      <c r="E7" s="24"/>
      <c r="G7" s="26" t="s">
        <v>10</v>
      </c>
      <c r="I7" s="5"/>
      <c r="J7" s="23"/>
      <c r="K7" s="5" t="s">
        <v>52</v>
      </c>
      <c r="L7" s="3">
        <f>'Data Entry'!G21</f>
        <v>371</v>
      </c>
    </row>
    <row r="8" spans="1:14" x14ac:dyDescent="0.2">
      <c r="A8" s="27" t="s">
        <v>71</v>
      </c>
      <c r="B8" s="25"/>
      <c r="C8" s="25"/>
      <c r="E8" s="24"/>
      <c r="G8" s="50">
        <f>'Data Entry'!G16</f>
        <v>5</v>
      </c>
      <c r="H8" s="59" t="s">
        <v>33</v>
      </c>
      <c r="I8" s="5"/>
      <c r="J8" s="23"/>
    </row>
    <row r="9" spans="1:14" x14ac:dyDescent="0.2">
      <c r="A9" s="27" t="s">
        <v>72</v>
      </c>
      <c r="B9" s="25"/>
      <c r="C9" s="25"/>
      <c r="E9" s="1"/>
      <c r="G9" s="28">
        <v>4</v>
      </c>
      <c r="K9" s="5"/>
      <c r="L9" s="23"/>
    </row>
    <row r="10" spans="1:14" x14ac:dyDescent="0.2">
      <c r="A10" s="27"/>
      <c r="B10" s="25"/>
      <c r="C10" s="25"/>
      <c r="D10" s="29"/>
      <c r="E10" s="1"/>
      <c r="K10" s="5"/>
      <c r="L10" s="23"/>
    </row>
    <row r="11" spans="1:14" x14ac:dyDescent="0.2">
      <c r="A11" s="8" t="s">
        <v>100</v>
      </c>
      <c r="B11" s="8" t="s">
        <v>74</v>
      </c>
      <c r="C11" s="4"/>
      <c r="D11" s="4"/>
      <c r="E11" s="9"/>
    </row>
    <row r="12" spans="1:14" x14ac:dyDescent="0.2">
      <c r="A12" s="11"/>
      <c r="B12" s="11"/>
      <c r="E12" s="1"/>
    </row>
    <row r="13" spans="1:14" x14ac:dyDescent="0.2">
      <c r="A13" s="11" t="s">
        <v>55</v>
      </c>
      <c r="E13" s="1"/>
      <c r="G13" s="5" t="s">
        <v>56</v>
      </c>
    </row>
    <row r="14" spans="1:14" x14ac:dyDescent="0.2">
      <c r="A14" t="s">
        <v>75</v>
      </c>
      <c r="E14" s="1"/>
      <c r="G14" s="30">
        <v>0</v>
      </c>
      <c r="I14" t="s">
        <v>76</v>
      </c>
      <c r="L14" s="31">
        <f t="shared" ref="L14:L23" si="0">G14</f>
        <v>0</v>
      </c>
    </row>
    <row r="15" spans="1:14" x14ac:dyDescent="0.2">
      <c r="A15" t="s">
        <v>77</v>
      </c>
      <c r="E15" s="1"/>
      <c r="G15" s="30">
        <v>0</v>
      </c>
      <c r="I15" t="s">
        <v>76</v>
      </c>
      <c r="L15" s="31">
        <f t="shared" si="0"/>
        <v>0</v>
      </c>
    </row>
    <row r="16" spans="1:14" x14ac:dyDescent="0.2">
      <c r="A16" t="s">
        <v>78</v>
      </c>
      <c r="E16" s="1"/>
      <c r="G16" s="32">
        <v>0</v>
      </c>
      <c r="I16" t="s">
        <v>76</v>
      </c>
      <c r="L16" s="31">
        <f t="shared" si="0"/>
        <v>0</v>
      </c>
    </row>
    <row r="17" spans="1:12" x14ac:dyDescent="0.2">
      <c r="A17" t="s">
        <v>79</v>
      </c>
      <c r="E17" s="1"/>
      <c r="G17" s="30">
        <v>0</v>
      </c>
      <c r="I17" t="s">
        <v>76</v>
      </c>
      <c r="L17" s="31">
        <f t="shared" si="0"/>
        <v>0</v>
      </c>
    </row>
    <row r="18" spans="1:12" x14ac:dyDescent="0.2">
      <c r="A18" t="s">
        <v>80</v>
      </c>
      <c r="E18" s="1"/>
      <c r="G18" s="30">
        <v>0</v>
      </c>
      <c r="I18" t="s">
        <v>76</v>
      </c>
      <c r="L18" s="31">
        <f t="shared" si="0"/>
        <v>0</v>
      </c>
    </row>
    <row r="19" spans="1:12" x14ac:dyDescent="0.2">
      <c r="A19" t="s">
        <v>81</v>
      </c>
      <c r="E19" s="1"/>
      <c r="G19" s="30">
        <v>0</v>
      </c>
      <c r="I19" t="s">
        <v>76</v>
      </c>
      <c r="L19" s="31">
        <f t="shared" si="0"/>
        <v>0</v>
      </c>
    </row>
    <row r="20" spans="1:12" x14ac:dyDescent="0.2">
      <c r="A20" t="s">
        <v>82</v>
      </c>
      <c r="E20" s="1"/>
      <c r="G20" s="30">
        <v>0</v>
      </c>
      <c r="I20" t="s">
        <v>76</v>
      </c>
      <c r="L20" s="31">
        <f t="shared" si="0"/>
        <v>0</v>
      </c>
    </row>
    <row r="21" spans="1:12" x14ac:dyDescent="0.2">
      <c r="A21" s="13" t="s">
        <v>60</v>
      </c>
      <c r="E21" s="1"/>
      <c r="G21" s="30">
        <v>0</v>
      </c>
      <c r="I21" t="s">
        <v>76</v>
      </c>
      <c r="L21" s="31">
        <f t="shared" si="0"/>
        <v>0</v>
      </c>
    </row>
    <row r="22" spans="1:12" x14ac:dyDescent="0.2">
      <c r="A22" s="13" t="s">
        <v>60</v>
      </c>
      <c r="E22" s="1"/>
      <c r="G22" s="30">
        <v>0</v>
      </c>
      <c r="I22" t="s">
        <v>76</v>
      </c>
      <c r="L22" s="31">
        <f t="shared" si="0"/>
        <v>0</v>
      </c>
    </row>
    <row r="23" spans="1:12" x14ac:dyDescent="0.2">
      <c r="A23" s="13" t="s">
        <v>60</v>
      </c>
      <c r="E23" s="1"/>
      <c r="G23" s="30">
        <v>0</v>
      </c>
      <c r="I23" t="s">
        <v>76</v>
      </c>
      <c r="L23" s="31">
        <f t="shared" si="0"/>
        <v>0</v>
      </c>
    </row>
    <row r="24" spans="1:12" x14ac:dyDescent="0.2">
      <c r="E24" s="1"/>
      <c r="G24" s="1"/>
      <c r="K24" s="5" t="s">
        <v>83</v>
      </c>
      <c r="L24" s="33">
        <f>SUM(L14:L23)</f>
        <v>0</v>
      </c>
    </row>
    <row r="25" spans="1:12" x14ac:dyDescent="0.2">
      <c r="A25" s="11"/>
      <c r="B25" s="11"/>
      <c r="E25" s="1"/>
      <c r="L25" s="1"/>
    </row>
    <row r="26" spans="1:12" x14ac:dyDescent="0.2">
      <c r="A26" s="11" t="s">
        <v>55</v>
      </c>
      <c r="E26" s="1"/>
      <c r="G26" s="5" t="s">
        <v>56</v>
      </c>
    </row>
    <row r="27" spans="1:12" x14ac:dyDescent="0.2">
      <c r="A27" t="s">
        <v>84</v>
      </c>
      <c r="E27" s="1"/>
      <c r="G27" s="30">
        <v>25</v>
      </c>
      <c r="I27" t="s">
        <v>85</v>
      </c>
      <c r="L27" s="31">
        <f>G27/$G$9</f>
        <v>6.25</v>
      </c>
    </row>
    <row r="28" spans="1:12" x14ac:dyDescent="0.2">
      <c r="A28" t="s">
        <v>86</v>
      </c>
      <c r="D28" s="34"/>
      <c r="E28" s="35"/>
      <c r="G28" s="30">
        <v>25</v>
      </c>
      <c r="I28" t="s">
        <v>85</v>
      </c>
      <c r="L28" s="31">
        <f>G28/$G$9</f>
        <v>6.25</v>
      </c>
    </row>
    <row r="29" spans="1:12" x14ac:dyDescent="0.2">
      <c r="A29" t="s">
        <v>87</v>
      </c>
      <c r="E29" s="36" t="s">
        <v>88</v>
      </c>
    </row>
    <row r="30" spans="1:12" x14ac:dyDescent="0.2">
      <c r="E30" s="19">
        <v>10</v>
      </c>
      <c r="G30" s="30">
        <v>0</v>
      </c>
      <c r="I30" t="s">
        <v>89</v>
      </c>
      <c r="L30" s="31">
        <f>SUM(E30*G30)</f>
        <v>0</v>
      </c>
    </row>
    <row r="31" spans="1:12" x14ac:dyDescent="0.2">
      <c r="A31" t="s">
        <v>50</v>
      </c>
      <c r="D31" s="37" t="s">
        <v>90</v>
      </c>
      <c r="E31" s="37" t="s">
        <v>91</v>
      </c>
      <c r="G31" s="38"/>
      <c r="H31" s="10"/>
      <c r="I31" s="10"/>
      <c r="J31" s="10"/>
      <c r="K31" s="10"/>
      <c r="L31" s="39"/>
    </row>
    <row r="32" spans="1:12" x14ac:dyDescent="0.2">
      <c r="B32" t="s">
        <v>92</v>
      </c>
      <c r="D32" s="19">
        <v>0</v>
      </c>
      <c r="E32" s="19">
        <v>0</v>
      </c>
      <c r="G32" s="40">
        <f>SUM(D32+E32)*G9</f>
        <v>0</v>
      </c>
      <c r="I32" t="s">
        <v>85</v>
      </c>
      <c r="L32" s="41">
        <f>SUM(G32/G9)</f>
        <v>0</v>
      </c>
    </row>
    <row r="33" spans="1:12" x14ac:dyDescent="0.2">
      <c r="A33" t="s">
        <v>93</v>
      </c>
      <c r="E33" s="1"/>
      <c r="G33" s="30">
        <v>0</v>
      </c>
      <c r="I33" t="s">
        <v>85</v>
      </c>
      <c r="L33" s="31">
        <f>G33/$G$9</f>
        <v>0</v>
      </c>
    </row>
    <row r="34" spans="1:12" x14ac:dyDescent="0.2">
      <c r="A34" t="s">
        <v>94</v>
      </c>
      <c r="E34" s="1"/>
      <c r="G34" s="30">
        <v>0</v>
      </c>
      <c r="I34" t="s">
        <v>85</v>
      </c>
      <c r="L34" s="31">
        <f>G34/$G$9</f>
        <v>0</v>
      </c>
    </row>
    <row r="35" spans="1:12" x14ac:dyDescent="0.2">
      <c r="A35" t="s">
        <v>95</v>
      </c>
      <c r="E35" s="1"/>
      <c r="G35" s="30">
        <v>0</v>
      </c>
      <c r="I35" t="s">
        <v>85</v>
      </c>
      <c r="L35" s="31">
        <f>G35/$G$9</f>
        <v>0</v>
      </c>
    </row>
    <row r="36" spans="1:12" x14ac:dyDescent="0.2">
      <c r="A36" t="s">
        <v>96</v>
      </c>
      <c r="E36" s="1"/>
      <c r="G36" s="30">
        <v>0</v>
      </c>
      <c r="I36" t="s">
        <v>85</v>
      </c>
      <c r="L36" s="31">
        <f>G36/$G$9</f>
        <v>0</v>
      </c>
    </row>
    <row r="37" spans="1:12" x14ac:dyDescent="0.2">
      <c r="A37" t="s">
        <v>97</v>
      </c>
      <c r="E37" s="37" t="s">
        <v>98</v>
      </c>
    </row>
    <row r="38" spans="1:12" x14ac:dyDescent="0.2">
      <c r="E38" s="19">
        <v>1</v>
      </c>
      <c r="G38" s="42">
        <v>0</v>
      </c>
      <c r="I38" t="s">
        <v>85</v>
      </c>
      <c r="L38" s="40">
        <f>SUM(G38/E38)/G9</f>
        <v>0</v>
      </c>
    </row>
    <row r="39" spans="1:12" x14ac:dyDescent="0.2">
      <c r="A39" s="13" t="s">
        <v>60</v>
      </c>
      <c r="E39" s="1"/>
      <c r="G39" s="30">
        <v>0</v>
      </c>
      <c r="I39" t="s">
        <v>85</v>
      </c>
      <c r="L39" s="31">
        <f>G39/$G$9</f>
        <v>0</v>
      </c>
    </row>
    <row r="40" spans="1:12" x14ac:dyDescent="0.2">
      <c r="A40" s="13" t="s">
        <v>60</v>
      </c>
      <c r="E40" s="1"/>
      <c r="G40" s="30">
        <v>0</v>
      </c>
      <c r="I40" t="s">
        <v>85</v>
      </c>
      <c r="L40" s="31">
        <f>G40/$G$9</f>
        <v>0</v>
      </c>
    </row>
    <row r="41" spans="1:12" x14ac:dyDescent="0.2">
      <c r="A41" s="13" t="s">
        <v>60</v>
      </c>
      <c r="E41" s="1"/>
      <c r="G41" s="30">
        <v>0</v>
      </c>
      <c r="I41" t="s">
        <v>85</v>
      </c>
      <c r="L41" s="31">
        <f>G41/$G$9</f>
        <v>0</v>
      </c>
    </row>
    <row r="42" spans="1:12" x14ac:dyDescent="0.2">
      <c r="E42" s="1"/>
      <c r="G42" s="1"/>
      <c r="I42" s="5" t="s">
        <v>83</v>
      </c>
      <c r="L42" s="33">
        <f>SUM(L27:L41)</f>
        <v>12.5</v>
      </c>
    </row>
    <row r="43" spans="1:12" x14ac:dyDescent="0.2">
      <c r="E43" s="1"/>
      <c r="L43" s="43"/>
    </row>
    <row r="44" spans="1:12" x14ac:dyDescent="0.2">
      <c r="E44" s="1"/>
      <c r="G44" s="1"/>
      <c r="J44" s="5" t="s">
        <v>43</v>
      </c>
      <c r="L44" s="33">
        <f>L24+L42</f>
        <v>12.5</v>
      </c>
    </row>
    <row r="45" spans="1:12" x14ac:dyDescent="0.2">
      <c r="E45" s="1"/>
    </row>
    <row r="46" spans="1:12" x14ac:dyDescent="0.2">
      <c r="E46" s="1"/>
    </row>
    <row r="47" spans="1:12" x14ac:dyDescent="0.2">
      <c r="A47" s="44" t="s">
        <v>14</v>
      </c>
      <c r="B47" s="8" t="s">
        <v>16</v>
      </c>
      <c r="C47" s="4"/>
      <c r="E47" s="1"/>
      <c r="G47" s="45">
        <v>0.25</v>
      </c>
    </row>
    <row r="48" spans="1:12" x14ac:dyDescent="0.2">
      <c r="E48" s="1"/>
    </row>
    <row r="49" spans="1:12" x14ac:dyDescent="0.2">
      <c r="A49" s="8" t="s">
        <v>157</v>
      </c>
      <c r="B49" s="8" t="s">
        <v>101</v>
      </c>
      <c r="C49" s="8"/>
      <c r="D49" s="8"/>
      <c r="E49" s="24"/>
      <c r="F49" s="11"/>
      <c r="G49" s="11"/>
    </row>
    <row r="50" spans="1:12" x14ac:dyDescent="0.2">
      <c r="E50" s="1"/>
      <c r="K50" s="11" t="s">
        <v>39</v>
      </c>
      <c r="L50" s="33">
        <f>' Fixed Expenses'!L66</f>
        <v>10.633512432837685</v>
      </c>
    </row>
    <row r="51" spans="1:12" x14ac:dyDescent="0.2">
      <c r="E51" s="1"/>
    </row>
    <row r="52" spans="1:12" x14ac:dyDescent="0.2">
      <c r="C52" s="5" t="s">
        <v>42</v>
      </c>
      <c r="D52" s="33">
        <f>SUM(L50*H53)</f>
        <v>0.14330879289538659</v>
      </c>
      <c r="E52" s="1"/>
      <c r="K52" s="5" t="s">
        <v>102</v>
      </c>
      <c r="L52" s="33">
        <f>D54</f>
        <v>12.643308792895386</v>
      </c>
    </row>
    <row r="53" spans="1:12" x14ac:dyDescent="0.2">
      <c r="C53" s="5" t="s">
        <v>43</v>
      </c>
      <c r="D53" s="33">
        <f>L44</f>
        <v>12.5</v>
      </c>
      <c r="E53" s="8" t="s">
        <v>103</v>
      </c>
      <c r="H53" s="46">
        <f>SUM(G8/' Fixed Expenses'!L3)</f>
        <v>1.3477088948787063E-2</v>
      </c>
      <c r="K53" s="5" t="s">
        <v>104</v>
      </c>
      <c r="L53" s="33">
        <f>L52*G47</f>
        <v>3.1608271982238465</v>
      </c>
    </row>
    <row r="54" spans="1:12" x14ac:dyDescent="0.2">
      <c r="C54" s="5" t="s">
        <v>102</v>
      </c>
      <c r="D54" s="33">
        <f>D52+D53</f>
        <v>12.643308792895386</v>
      </c>
      <c r="E54" s="1"/>
      <c r="K54" s="5" t="s">
        <v>105</v>
      </c>
      <c r="L54" s="33">
        <f>L52+L53</f>
        <v>15.804135991119232</v>
      </c>
    </row>
    <row r="55" spans="1:12" x14ac:dyDescent="0.2">
      <c r="E55" s="1"/>
    </row>
    <row r="56" spans="1:12" x14ac:dyDescent="0.2">
      <c r="E56" s="1"/>
    </row>
    <row r="57" spans="1:12" x14ac:dyDescent="0.2">
      <c r="A57" s="8" t="s">
        <v>163</v>
      </c>
      <c r="B57" s="8" t="s">
        <v>15</v>
      </c>
      <c r="C57" s="8"/>
      <c r="D57" s="8"/>
      <c r="L57" s="10"/>
    </row>
    <row r="58" spans="1:12" x14ac:dyDescent="0.2">
      <c r="L58" s="81"/>
    </row>
    <row r="59" spans="1:12" x14ac:dyDescent="0.2">
      <c r="J59" s="76"/>
      <c r="K59" s="5" t="s">
        <v>17</v>
      </c>
      <c r="L59" s="52">
        <f>L52</f>
        <v>12.643308792895386</v>
      </c>
    </row>
    <row r="61" spans="1:12" x14ac:dyDescent="0.2">
      <c r="F61" s="5" t="s">
        <v>165</v>
      </c>
      <c r="G61" s="80">
        <v>0</v>
      </c>
      <c r="H61" s="91" t="s">
        <v>35</v>
      </c>
    </row>
    <row r="62" spans="1:12" x14ac:dyDescent="0.2">
      <c r="F62" s="5" t="s">
        <v>162</v>
      </c>
      <c r="G62" s="79">
        <f>SUM(L62/L59)</f>
        <v>-1</v>
      </c>
      <c r="J62" s="76"/>
      <c r="K62" s="5" t="s">
        <v>18</v>
      </c>
      <c r="L62" s="52">
        <f>SUM(G61-L59)</f>
        <v>-12.643308792895386</v>
      </c>
    </row>
    <row r="63" spans="1:12" x14ac:dyDescent="0.2">
      <c r="L63" s="10"/>
    </row>
    <row r="64" spans="1:12" x14ac:dyDescent="0.2">
      <c r="A64" s="8" t="s">
        <v>164</v>
      </c>
      <c r="B64" s="8" t="s">
        <v>158</v>
      </c>
      <c r="C64" s="8"/>
      <c r="D64" s="8"/>
      <c r="L64" s="10"/>
    </row>
    <row r="65" spans="6:12" x14ac:dyDescent="0.2">
      <c r="L65" s="10"/>
    </row>
    <row r="66" spans="6:12" x14ac:dyDescent="0.2">
      <c r="F66" s="5" t="s">
        <v>18</v>
      </c>
      <c r="G66" s="77">
        <f>L62</f>
        <v>-12.643308792895386</v>
      </c>
      <c r="L66" s="10"/>
    </row>
    <row r="67" spans="6:12" x14ac:dyDescent="0.2">
      <c r="F67" s="5" t="s">
        <v>159</v>
      </c>
      <c r="G67" s="74">
        <f>G8</f>
        <v>5</v>
      </c>
      <c r="L67" s="10"/>
    </row>
    <row r="68" spans="6:12" x14ac:dyDescent="0.2">
      <c r="L68" s="10"/>
    </row>
    <row r="69" spans="6:12" x14ac:dyDescent="0.2">
      <c r="F69" s="5" t="s">
        <v>160</v>
      </c>
      <c r="G69" s="78">
        <f>SUM(G67*G66)</f>
        <v>-63.216543964476926</v>
      </c>
    </row>
  </sheetData>
  <phoneticPr fontId="0" type="noConversion"/>
  <pageMargins left="0.75" right="0.75" top="1" bottom="1" header="0.5" footer="0.5"/>
  <pageSetup orientation="landscape" horizontalDpi="360" verticalDpi="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9F406-4C9B-434A-B2B2-1C2A80CDB91E}">
  <sheetPr codeName="Sheet10"/>
  <dimension ref="A2:O69"/>
  <sheetViews>
    <sheetView workbookViewId="0">
      <selection activeCell="F11" sqref="F11"/>
    </sheetView>
  </sheetViews>
  <sheetFormatPr defaultColWidth="8.85546875" defaultRowHeight="12.75" x14ac:dyDescent="0.2"/>
  <cols>
    <col min="1" max="5" width="8.85546875" style="130" customWidth="1"/>
    <col min="6" max="6" width="10.140625" style="130" customWidth="1"/>
    <col min="7" max="7" width="11.28515625" style="130" customWidth="1"/>
    <col min="8" max="10" width="8.85546875" style="130" customWidth="1"/>
    <col min="11" max="11" width="16.42578125" style="130" customWidth="1"/>
    <col min="12" max="16384" width="8.85546875" style="130"/>
  </cols>
  <sheetData>
    <row r="2" spans="1:15" x14ac:dyDescent="0.2">
      <c r="A2" s="128" t="s">
        <v>9</v>
      </c>
      <c r="B2" s="128"/>
      <c r="C2" s="129" t="str">
        <f>'Data Entry'!E17</f>
        <v>Assistant Instructor</v>
      </c>
      <c r="D2" s="129"/>
    </row>
    <row r="3" spans="1:15" x14ac:dyDescent="0.2">
      <c r="E3" s="131"/>
      <c r="I3" s="132"/>
      <c r="J3" s="133"/>
      <c r="N3" s="49"/>
      <c r="O3" s="49"/>
    </row>
    <row r="4" spans="1:15" x14ac:dyDescent="0.2">
      <c r="E4" s="131"/>
      <c r="I4" s="132"/>
      <c r="J4" s="133"/>
    </row>
    <row r="5" spans="1:15" x14ac:dyDescent="0.2">
      <c r="A5" s="134" t="s">
        <v>99</v>
      </c>
      <c r="B5" s="134" t="s">
        <v>70</v>
      </c>
      <c r="C5" s="134"/>
      <c r="D5" s="134"/>
      <c r="E5" s="135"/>
      <c r="I5" s="132"/>
      <c r="J5" s="133"/>
    </row>
    <row r="6" spans="1:15" x14ac:dyDescent="0.2">
      <c r="A6" s="134"/>
      <c r="B6" s="134"/>
      <c r="C6" s="134"/>
      <c r="D6" s="134"/>
      <c r="E6" s="135"/>
      <c r="I6" s="132"/>
      <c r="J6" s="133"/>
    </row>
    <row r="7" spans="1:15" x14ac:dyDescent="0.2">
      <c r="A7" s="136" t="s">
        <v>106</v>
      </c>
      <c r="B7" s="137"/>
      <c r="C7" s="137"/>
      <c r="E7" s="135"/>
      <c r="G7" s="138" t="s">
        <v>190</v>
      </c>
      <c r="I7" s="132"/>
      <c r="J7" s="133"/>
      <c r="K7" s="132" t="s">
        <v>52</v>
      </c>
      <c r="L7" s="129">
        <f>'Data Entry'!G21</f>
        <v>371</v>
      </c>
    </row>
    <row r="8" spans="1:15" x14ac:dyDescent="0.2">
      <c r="A8" s="139" t="s">
        <v>71</v>
      </c>
      <c r="B8" s="136"/>
      <c r="C8" s="136"/>
      <c r="E8" s="135"/>
      <c r="G8" s="140">
        <f>'Data Entry'!G17</f>
        <v>3</v>
      </c>
      <c r="H8" s="141" t="s">
        <v>33</v>
      </c>
      <c r="I8" s="132"/>
      <c r="J8" s="133"/>
    </row>
    <row r="9" spans="1:15" x14ac:dyDescent="0.2">
      <c r="A9" s="139" t="s">
        <v>72</v>
      </c>
      <c r="B9" s="136"/>
      <c r="C9" s="136"/>
      <c r="E9" s="131"/>
      <c r="G9" s="142">
        <v>2</v>
      </c>
      <c r="K9" s="132"/>
      <c r="L9" s="133"/>
    </row>
    <row r="10" spans="1:15" x14ac:dyDescent="0.2">
      <c r="A10" s="139"/>
      <c r="B10" s="136"/>
      <c r="C10" s="136"/>
      <c r="D10" s="143"/>
      <c r="E10" s="131"/>
      <c r="K10" s="132"/>
      <c r="L10" s="133"/>
    </row>
    <row r="11" spans="1:15" x14ac:dyDescent="0.2">
      <c r="A11" s="134" t="s">
        <v>100</v>
      </c>
      <c r="B11" s="134" t="s">
        <v>74</v>
      </c>
      <c r="C11" s="137"/>
      <c r="D11" s="137"/>
      <c r="E11" s="144"/>
    </row>
    <row r="12" spans="1:15" x14ac:dyDescent="0.2">
      <c r="A12" s="128"/>
      <c r="B12" s="128"/>
      <c r="E12" s="131"/>
    </row>
    <row r="13" spans="1:15" x14ac:dyDescent="0.2">
      <c r="A13" s="128" t="s">
        <v>55</v>
      </c>
      <c r="E13" s="131"/>
      <c r="G13" s="132" t="s">
        <v>56</v>
      </c>
    </row>
    <row r="14" spans="1:15" x14ac:dyDescent="0.2">
      <c r="A14" s="130" t="s">
        <v>75</v>
      </c>
      <c r="E14" s="131"/>
      <c r="G14" s="145">
        <v>0</v>
      </c>
      <c r="I14" s="130" t="s">
        <v>76</v>
      </c>
      <c r="L14" s="146">
        <f t="shared" ref="L14:L23" si="0">G14</f>
        <v>0</v>
      </c>
    </row>
    <row r="15" spans="1:15" x14ac:dyDescent="0.2">
      <c r="A15" s="130" t="s">
        <v>77</v>
      </c>
      <c r="E15" s="131"/>
      <c r="G15" s="145">
        <v>0</v>
      </c>
      <c r="I15" s="130" t="s">
        <v>76</v>
      </c>
      <c r="L15" s="146">
        <f t="shared" si="0"/>
        <v>0</v>
      </c>
    </row>
    <row r="16" spans="1:15" x14ac:dyDescent="0.2">
      <c r="A16" s="130" t="s">
        <v>78</v>
      </c>
      <c r="E16" s="131"/>
      <c r="G16" s="147">
        <v>0</v>
      </c>
      <c r="I16" s="130" t="s">
        <v>76</v>
      </c>
      <c r="L16" s="146">
        <f t="shared" si="0"/>
        <v>0</v>
      </c>
    </row>
    <row r="17" spans="1:12" x14ac:dyDescent="0.2">
      <c r="A17" s="130" t="s">
        <v>79</v>
      </c>
      <c r="E17" s="131"/>
      <c r="G17" s="145">
        <v>0</v>
      </c>
      <c r="I17" s="130" t="s">
        <v>76</v>
      </c>
      <c r="L17" s="146">
        <f t="shared" si="0"/>
        <v>0</v>
      </c>
    </row>
    <row r="18" spans="1:12" x14ac:dyDescent="0.2">
      <c r="A18" s="130" t="s">
        <v>80</v>
      </c>
      <c r="E18" s="131"/>
      <c r="G18" s="145">
        <v>0</v>
      </c>
      <c r="I18" s="130" t="s">
        <v>76</v>
      </c>
      <c r="L18" s="146">
        <f t="shared" si="0"/>
        <v>0</v>
      </c>
    </row>
    <row r="19" spans="1:12" x14ac:dyDescent="0.2">
      <c r="A19" s="130" t="s">
        <v>81</v>
      </c>
      <c r="E19" s="131"/>
      <c r="G19" s="145">
        <v>0</v>
      </c>
      <c r="I19" s="130" t="s">
        <v>76</v>
      </c>
      <c r="L19" s="146">
        <f t="shared" si="0"/>
        <v>0</v>
      </c>
    </row>
    <row r="20" spans="1:12" x14ac:dyDescent="0.2">
      <c r="A20" s="130" t="s">
        <v>82</v>
      </c>
      <c r="E20" s="131"/>
      <c r="G20" s="145">
        <v>0</v>
      </c>
      <c r="I20" s="130" t="s">
        <v>76</v>
      </c>
      <c r="L20" s="146">
        <f t="shared" si="0"/>
        <v>0</v>
      </c>
    </row>
    <row r="21" spans="1:12" x14ac:dyDescent="0.2">
      <c r="A21" s="148" t="s">
        <v>60</v>
      </c>
      <c r="E21" s="131"/>
      <c r="G21" s="145">
        <v>0</v>
      </c>
      <c r="I21" s="130" t="s">
        <v>76</v>
      </c>
      <c r="L21" s="146">
        <f t="shared" si="0"/>
        <v>0</v>
      </c>
    </row>
    <row r="22" spans="1:12" x14ac:dyDescent="0.2">
      <c r="A22" s="148" t="s">
        <v>60</v>
      </c>
      <c r="E22" s="131"/>
      <c r="G22" s="145">
        <v>0</v>
      </c>
      <c r="I22" s="130" t="s">
        <v>76</v>
      </c>
      <c r="L22" s="146">
        <f t="shared" si="0"/>
        <v>0</v>
      </c>
    </row>
    <row r="23" spans="1:12" x14ac:dyDescent="0.2">
      <c r="A23" s="148" t="s">
        <v>60</v>
      </c>
      <c r="E23" s="131"/>
      <c r="G23" s="145">
        <v>0</v>
      </c>
      <c r="I23" s="130" t="s">
        <v>76</v>
      </c>
      <c r="L23" s="146">
        <f t="shared" si="0"/>
        <v>0</v>
      </c>
    </row>
    <row r="24" spans="1:12" x14ac:dyDescent="0.2">
      <c r="E24" s="131"/>
      <c r="G24" s="131"/>
      <c r="K24" s="132" t="s">
        <v>83</v>
      </c>
      <c r="L24" s="149">
        <f>SUM(L14:L23)</f>
        <v>0</v>
      </c>
    </row>
    <row r="25" spans="1:12" x14ac:dyDescent="0.2">
      <c r="A25" s="128"/>
      <c r="B25" s="128"/>
      <c r="E25" s="131"/>
      <c r="L25" s="131"/>
    </row>
    <row r="26" spans="1:12" x14ac:dyDescent="0.2">
      <c r="A26" s="128" t="s">
        <v>55</v>
      </c>
      <c r="E26" s="131"/>
      <c r="G26" s="132" t="s">
        <v>56</v>
      </c>
    </row>
    <row r="27" spans="1:12" x14ac:dyDescent="0.2">
      <c r="A27" s="130" t="s">
        <v>84</v>
      </c>
      <c r="E27" s="131"/>
      <c r="G27" s="145">
        <v>25</v>
      </c>
      <c r="I27" s="130" t="s">
        <v>85</v>
      </c>
      <c r="L27" s="146">
        <f>G27/$G$9</f>
        <v>12.5</v>
      </c>
    </row>
    <row r="28" spans="1:12" x14ac:dyDescent="0.2">
      <c r="A28" s="130" t="s">
        <v>86</v>
      </c>
      <c r="D28" s="150"/>
      <c r="E28" s="151"/>
      <c r="G28" s="145">
        <v>35</v>
      </c>
      <c r="I28" s="130" t="s">
        <v>85</v>
      </c>
      <c r="L28" s="146">
        <f>G28/$G$9</f>
        <v>17.5</v>
      </c>
    </row>
    <row r="29" spans="1:12" x14ac:dyDescent="0.2">
      <c r="A29" s="130" t="s">
        <v>87</v>
      </c>
      <c r="E29" s="152" t="s">
        <v>88</v>
      </c>
    </row>
    <row r="30" spans="1:12" x14ac:dyDescent="0.2">
      <c r="E30" s="142">
        <v>0</v>
      </c>
      <c r="G30" s="145">
        <v>0</v>
      </c>
      <c r="I30" s="130" t="s">
        <v>89</v>
      </c>
      <c r="L30" s="146">
        <f>SUM(E30*G30)</f>
        <v>0</v>
      </c>
    </row>
    <row r="31" spans="1:12" x14ac:dyDescent="0.2">
      <c r="A31" s="130" t="s">
        <v>50</v>
      </c>
      <c r="D31" s="153" t="s">
        <v>90</v>
      </c>
      <c r="E31" s="153" t="s">
        <v>91</v>
      </c>
      <c r="G31" s="154"/>
      <c r="H31" s="155"/>
      <c r="I31" s="155"/>
      <c r="J31" s="155"/>
      <c r="K31" s="155"/>
      <c r="L31" s="156"/>
    </row>
    <row r="32" spans="1:12" x14ac:dyDescent="0.2">
      <c r="B32" s="130" t="s">
        <v>92</v>
      </c>
      <c r="D32" s="142">
        <v>0</v>
      </c>
      <c r="E32" s="142">
        <v>0</v>
      </c>
      <c r="G32" s="157">
        <f>SUM(D32+E32)*G9</f>
        <v>0</v>
      </c>
      <c r="I32" s="130" t="s">
        <v>85</v>
      </c>
      <c r="L32" s="158">
        <f>SUM(G32/G9)</f>
        <v>0</v>
      </c>
    </row>
    <row r="33" spans="1:12" x14ac:dyDescent="0.2">
      <c r="A33" s="130" t="s">
        <v>93</v>
      </c>
      <c r="E33" s="131"/>
      <c r="G33" s="145">
        <v>0</v>
      </c>
      <c r="I33" s="130" t="s">
        <v>85</v>
      </c>
      <c r="L33" s="146">
        <f>G33/$G$9</f>
        <v>0</v>
      </c>
    </row>
    <row r="34" spans="1:12" x14ac:dyDescent="0.2">
      <c r="A34" s="130" t="s">
        <v>94</v>
      </c>
      <c r="E34" s="131"/>
      <c r="G34" s="145">
        <v>0</v>
      </c>
      <c r="I34" s="130" t="s">
        <v>85</v>
      </c>
      <c r="L34" s="146">
        <f>G34/$G$9</f>
        <v>0</v>
      </c>
    </row>
    <row r="35" spans="1:12" x14ac:dyDescent="0.2">
      <c r="A35" s="130" t="s">
        <v>95</v>
      </c>
      <c r="E35" s="131"/>
      <c r="G35" s="145">
        <v>0</v>
      </c>
      <c r="I35" s="130" t="s">
        <v>85</v>
      </c>
      <c r="L35" s="146">
        <f>G35/$G$9</f>
        <v>0</v>
      </c>
    </row>
    <row r="36" spans="1:12" x14ac:dyDescent="0.2">
      <c r="A36" s="130" t="s">
        <v>96</v>
      </c>
      <c r="E36" s="131"/>
      <c r="G36" s="145">
        <v>0</v>
      </c>
      <c r="I36" s="130" t="s">
        <v>85</v>
      </c>
      <c r="L36" s="146">
        <f>G36/$G$9</f>
        <v>0</v>
      </c>
    </row>
    <row r="37" spans="1:12" x14ac:dyDescent="0.2">
      <c r="A37" s="130" t="s">
        <v>97</v>
      </c>
      <c r="E37" s="153" t="s">
        <v>98</v>
      </c>
    </row>
    <row r="38" spans="1:12" x14ac:dyDescent="0.2">
      <c r="E38" s="142">
        <v>1</v>
      </c>
      <c r="G38" s="159">
        <v>0</v>
      </c>
      <c r="I38" s="130" t="s">
        <v>85</v>
      </c>
      <c r="L38" s="157">
        <f>SUM(G38/E38)/G9</f>
        <v>0</v>
      </c>
    </row>
    <row r="39" spans="1:12" x14ac:dyDescent="0.2">
      <c r="A39" s="148" t="s">
        <v>60</v>
      </c>
      <c r="E39" s="131"/>
      <c r="G39" s="145">
        <v>0</v>
      </c>
      <c r="I39" s="130" t="s">
        <v>85</v>
      </c>
      <c r="L39" s="146">
        <f>G39/$G$9</f>
        <v>0</v>
      </c>
    </row>
    <row r="40" spans="1:12" x14ac:dyDescent="0.2">
      <c r="A40" s="148" t="s">
        <v>60</v>
      </c>
      <c r="E40" s="131"/>
      <c r="G40" s="145">
        <v>0</v>
      </c>
      <c r="I40" s="130" t="s">
        <v>85</v>
      </c>
      <c r="L40" s="146">
        <f>G40/$G$9</f>
        <v>0</v>
      </c>
    </row>
    <row r="41" spans="1:12" x14ac:dyDescent="0.2">
      <c r="A41" s="148" t="s">
        <v>60</v>
      </c>
      <c r="E41" s="131"/>
      <c r="G41" s="145">
        <v>0</v>
      </c>
      <c r="I41" s="130" t="s">
        <v>85</v>
      </c>
      <c r="L41" s="146">
        <f>G41/$G$9</f>
        <v>0</v>
      </c>
    </row>
    <row r="42" spans="1:12" x14ac:dyDescent="0.2">
      <c r="E42" s="131"/>
      <c r="G42" s="131"/>
      <c r="I42" s="132" t="s">
        <v>83</v>
      </c>
      <c r="L42" s="149">
        <f>SUM(L27:L41)</f>
        <v>30</v>
      </c>
    </row>
    <row r="43" spans="1:12" x14ac:dyDescent="0.2">
      <c r="E43" s="131"/>
      <c r="L43" s="160"/>
    </row>
    <row r="44" spans="1:12" x14ac:dyDescent="0.2">
      <c r="E44" s="131"/>
      <c r="G44" s="131"/>
      <c r="J44" s="132" t="s">
        <v>43</v>
      </c>
      <c r="L44" s="149">
        <f>L24+L42</f>
        <v>30</v>
      </c>
    </row>
    <row r="45" spans="1:12" x14ac:dyDescent="0.2">
      <c r="E45" s="131"/>
    </row>
    <row r="46" spans="1:12" x14ac:dyDescent="0.2">
      <c r="E46" s="131"/>
    </row>
    <row r="47" spans="1:12" x14ac:dyDescent="0.2">
      <c r="A47" s="161" t="s">
        <v>14</v>
      </c>
      <c r="B47" s="134" t="s">
        <v>16</v>
      </c>
      <c r="C47" s="137"/>
      <c r="E47" s="131"/>
      <c r="G47" s="162">
        <v>0.25</v>
      </c>
    </row>
    <row r="48" spans="1:12" x14ac:dyDescent="0.2">
      <c r="E48" s="131"/>
    </row>
    <row r="49" spans="1:12" x14ac:dyDescent="0.2">
      <c r="A49" s="134" t="s">
        <v>157</v>
      </c>
      <c r="B49" s="134" t="s">
        <v>101</v>
      </c>
      <c r="C49" s="134"/>
      <c r="D49" s="134"/>
      <c r="E49" s="135"/>
      <c r="F49" s="128"/>
      <c r="G49" s="128"/>
    </row>
    <row r="50" spans="1:12" x14ac:dyDescent="0.2">
      <c r="E50" s="131"/>
      <c r="K50" s="128" t="s">
        <v>39</v>
      </c>
      <c r="L50" s="149">
        <f>' Fixed Expenses'!L66</f>
        <v>10.633512432837685</v>
      </c>
    </row>
    <row r="51" spans="1:12" x14ac:dyDescent="0.2">
      <c r="E51" s="131"/>
    </row>
    <row r="52" spans="1:12" x14ac:dyDescent="0.2">
      <c r="C52" s="132" t="s">
        <v>42</v>
      </c>
      <c r="D52" s="149">
        <f>SUM(L50*H53)</f>
        <v>8.5985275737231956E-2</v>
      </c>
      <c r="E52" s="131"/>
      <c r="K52" s="132" t="s">
        <v>102</v>
      </c>
      <c r="L52" s="149">
        <f>D54</f>
        <v>30.085985275737233</v>
      </c>
    </row>
    <row r="53" spans="1:12" x14ac:dyDescent="0.2">
      <c r="C53" s="132" t="s">
        <v>43</v>
      </c>
      <c r="D53" s="149">
        <f>L44</f>
        <v>30</v>
      </c>
      <c r="E53" s="134" t="s">
        <v>103</v>
      </c>
      <c r="H53" s="163">
        <f>SUM(G8/' Fixed Expenses'!L3)</f>
        <v>8.0862533692722376E-3</v>
      </c>
      <c r="K53" s="132" t="s">
        <v>104</v>
      </c>
      <c r="L53" s="149">
        <f>L52*G47</f>
        <v>7.5214963189343083</v>
      </c>
    </row>
    <row r="54" spans="1:12" x14ac:dyDescent="0.2">
      <c r="C54" s="132" t="s">
        <v>102</v>
      </c>
      <c r="D54" s="149">
        <f>D52+D53</f>
        <v>30.085985275737233</v>
      </c>
      <c r="E54" s="131"/>
      <c r="K54" s="132" t="s">
        <v>105</v>
      </c>
      <c r="L54" s="149">
        <f>L52+L53</f>
        <v>37.60748159467154</v>
      </c>
    </row>
    <row r="55" spans="1:12" x14ac:dyDescent="0.2">
      <c r="E55" s="131"/>
    </row>
    <row r="56" spans="1:12" x14ac:dyDescent="0.2">
      <c r="E56" s="131"/>
    </row>
    <row r="57" spans="1:12" x14ac:dyDescent="0.2">
      <c r="A57" s="134" t="s">
        <v>163</v>
      </c>
      <c r="B57" s="134" t="s">
        <v>15</v>
      </c>
      <c r="C57" s="134"/>
      <c r="D57" s="134"/>
      <c r="L57" s="155"/>
    </row>
    <row r="58" spans="1:12" x14ac:dyDescent="0.2">
      <c r="L58" s="164"/>
    </row>
    <row r="59" spans="1:12" x14ac:dyDescent="0.2">
      <c r="J59" s="165"/>
      <c r="K59" s="132" t="s">
        <v>17</v>
      </c>
      <c r="L59" s="166">
        <f>L52</f>
        <v>30.085985275737233</v>
      </c>
    </row>
    <row r="61" spans="1:12" x14ac:dyDescent="0.2">
      <c r="F61" s="132" t="s">
        <v>165</v>
      </c>
      <c r="G61" s="167">
        <v>0</v>
      </c>
      <c r="H61" s="168" t="s">
        <v>35</v>
      </c>
    </row>
    <row r="62" spans="1:12" x14ac:dyDescent="0.2">
      <c r="F62" s="132" t="s">
        <v>162</v>
      </c>
      <c r="G62" s="169">
        <f>SUM(L62/L59)</f>
        <v>-1</v>
      </c>
      <c r="J62" s="165"/>
      <c r="K62" s="132" t="s">
        <v>18</v>
      </c>
      <c r="L62" s="166">
        <f>SUM(G61-L59)</f>
        <v>-30.085985275737233</v>
      </c>
    </row>
    <row r="63" spans="1:12" x14ac:dyDescent="0.2">
      <c r="L63" s="155"/>
    </row>
    <row r="64" spans="1:12" x14ac:dyDescent="0.2">
      <c r="A64" s="134" t="s">
        <v>164</v>
      </c>
      <c r="B64" s="134" t="s">
        <v>158</v>
      </c>
      <c r="C64" s="134"/>
      <c r="D64" s="134"/>
      <c r="L64" s="155"/>
    </row>
    <row r="65" spans="6:12" x14ac:dyDescent="0.2">
      <c r="L65" s="155"/>
    </row>
    <row r="66" spans="6:12" x14ac:dyDescent="0.2">
      <c r="F66" s="132" t="s">
        <v>18</v>
      </c>
      <c r="G66" s="170">
        <f>L62</f>
        <v>-30.085985275737233</v>
      </c>
      <c r="L66" s="155"/>
    </row>
    <row r="67" spans="6:12" x14ac:dyDescent="0.2">
      <c r="F67" s="132" t="s">
        <v>159</v>
      </c>
      <c r="G67" s="171">
        <f>G8</f>
        <v>3</v>
      </c>
      <c r="L67" s="155"/>
    </row>
    <row r="68" spans="6:12" x14ac:dyDescent="0.2">
      <c r="L68" s="155"/>
    </row>
    <row r="69" spans="6:12" x14ac:dyDescent="0.2">
      <c r="F69" s="132" t="s">
        <v>160</v>
      </c>
      <c r="G69" s="172">
        <f>SUM(G67*G66)</f>
        <v>-90.257955827211703</v>
      </c>
    </row>
  </sheetData>
  <sheetProtection sheet="1" objects="1" scenarios="1"/>
  <phoneticPr fontId="0" type="noConversion"/>
  <pageMargins left="0.75" right="0.75" top="1" bottom="1" header="0.5" footer="0.5"/>
  <pageSetup orientation="landscape" horizontalDpi="360" verticalDpi="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E5C89-65DC-4684-99AE-F8935656F8D9}">
  <sheetPr codeName="Sheet11"/>
  <dimension ref="A2:N69"/>
  <sheetViews>
    <sheetView workbookViewId="0">
      <selection activeCell="J25" sqref="J25"/>
    </sheetView>
  </sheetViews>
  <sheetFormatPr defaultColWidth="8.85546875" defaultRowHeight="12.75" x14ac:dyDescent="0.2"/>
  <cols>
    <col min="1" max="5" width="8.85546875" customWidth="1"/>
    <col min="6" max="6" width="10.42578125" customWidth="1"/>
    <col min="7" max="7" width="12.42578125" customWidth="1"/>
    <col min="8" max="10" width="8.85546875" customWidth="1"/>
    <col min="11" max="11" width="16.28515625" customWidth="1"/>
    <col min="12" max="12" width="11.42578125" customWidth="1"/>
  </cols>
  <sheetData>
    <row r="2" spans="1:14" x14ac:dyDescent="0.2">
      <c r="A2" s="11" t="s">
        <v>9</v>
      </c>
      <c r="B2" s="11"/>
      <c r="C2" s="3" t="str">
        <f>'Data Entry'!E18</f>
        <v>OWSI</v>
      </c>
      <c r="D2" s="3"/>
    </row>
    <row r="3" spans="1:14" x14ac:dyDescent="0.2">
      <c r="E3" s="1"/>
      <c r="I3" s="5"/>
      <c r="J3" s="23"/>
      <c r="M3" s="49"/>
      <c r="N3" s="49"/>
    </row>
    <row r="4" spans="1:14" x14ac:dyDescent="0.2">
      <c r="E4" s="1"/>
      <c r="I4" s="5"/>
      <c r="J4" s="23"/>
    </row>
    <row r="5" spans="1:14" x14ac:dyDescent="0.2">
      <c r="A5" s="8" t="s">
        <v>99</v>
      </c>
      <c r="B5" s="8" t="s">
        <v>70</v>
      </c>
      <c r="C5" s="8"/>
      <c r="D5" s="8"/>
      <c r="E5" s="24"/>
      <c r="I5" s="5"/>
      <c r="J5" s="23"/>
    </row>
    <row r="6" spans="1:14" x14ac:dyDescent="0.2">
      <c r="A6" s="8"/>
      <c r="B6" s="8"/>
      <c r="C6" s="8"/>
      <c r="D6" s="8"/>
      <c r="E6" s="24"/>
      <c r="I6" s="5"/>
      <c r="J6" s="23"/>
    </row>
    <row r="7" spans="1:14" x14ac:dyDescent="0.2">
      <c r="A7" s="25" t="s">
        <v>106</v>
      </c>
      <c r="B7" s="4"/>
      <c r="C7" s="4"/>
      <c r="E7" s="24"/>
      <c r="G7" s="26" t="s">
        <v>10</v>
      </c>
      <c r="I7" s="5"/>
      <c r="J7" s="23"/>
      <c r="K7" s="5" t="s">
        <v>52</v>
      </c>
      <c r="L7" s="3">
        <f>'Data Entry'!G21</f>
        <v>371</v>
      </c>
    </row>
    <row r="8" spans="1:14" x14ac:dyDescent="0.2">
      <c r="A8" s="27" t="s">
        <v>71</v>
      </c>
      <c r="B8" s="25"/>
      <c r="C8" s="25"/>
      <c r="E8" s="24"/>
      <c r="G8" s="50">
        <v>1</v>
      </c>
      <c r="H8" s="59" t="s">
        <v>33</v>
      </c>
      <c r="I8" s="5"/>
      <c r="J8" s="23"/>
    </row>
    <row r="9" spans="1:14" x14ac:dyDescent="0.2">
      <c r="A9" s="27" t="s">
        <v>72</v>
      </c>
      <c r="B9" s="25"/>
      <c r="C9" s="25"/>
      <c r="E9" s="1"/>
      <c r="G9" s="28">
        <v>1</v>
      </c>
      <c r="K9" s="5"/>
      <c r="L9" s="23"/>
    </row>
    <row r="10" spans="1:14" x14ac:dyDescent="0.2">
      <c r="A10" s="27"/>
      <c r="B10" s="25"/>
      <c r="C10" s="25"/>
      <c r="D10" s="29"/>
      <c r="E10" s="1"/>
      <c r="K10" s="5"/>
      <c r="L10" s="23"/>
    </row>
    <row r="11" spans="1:14" x14ac:dyDescent="0.2">
      <c r="A11" s="8" t="s">
        <v>100</v>
      </c>
      <c r="B11" s="8" t="s">
        <v>74</v>
      </c>
      <c r="C11" s="4"/>
      <c r="D11" s="4"/>
      <c r="E11" s="9"/>
    </row>
    <row r="12" spans="1:14" x14ac:dyDescent="0.2">
      <c r="A12" s="11"/>
      <c r="B12" s="11"/>
      <c r="E12" s="1"/>
    </row>
    <row r="13" spans="1:14" x14ac:dyDescent="0.2">
      <c r="A13" s="11" t="s">
        <v>55</v>
      </c>
      <c r="E13" s="1"/>
      <c r="G13" s="5" t="s">
        <v>56</v>
      </c>
    </row>
    <row r="14" spans="1:14" x14ac:dyDescent="0.2">
      <c r="A14" t="s">
        <v>75</v>
      </c>
      <c r="E14" s="1"/>
      <c r="G14" s="30">
        <v>0</v>
      </c>
      <c r="I14" t="s">
        <v>76</v>
      </c>
      <c r="L14" s="31">
        <f t="shared" ref="L14:L23" si="0">G14</f>
        <v>0</v>
      </c>
    </row>
    <row r="15" spans="1:14" x14ac:dyDescent="0.2">
      <c r="A15" t="s">
        <v>77</v>
      </c>
      <c r="E15" s="1"/>
      <c r="G15" s="30">
        <v>0</v>
      </c>
      <c r="I15" t="s">
        <v>76</v>
      </c>
      <c r="L15" s="31">
        <f t="shared" si="0"/>
        <v>0</v>
      </c>
    </row>
    <row r="16" spans="1:14" x14ac:dyDescent="0.2">
      <c r="A16" t="s">
        <v>78</v>
      </c>
      <c r="E16" s="1"/>
      <c r="G16" s="32">
        <v>0</v>
      </c>
      <c r="I16" t="s">
        <v>76</v>
      </c>
      <c r="L16" s="31">
        <f t="shared" si="0"/>
        <v>0</v>
      </c>
    </row>
    <row r="17" spans="1:12" x14ac:dyDescent="0.2">
      <c r="A17" t="s">
        <v>79</v>
      </c>
      <c r="E17" s="1"/>
      <c r="G17" s="30">
        <v>0</v>
      </c>
      <c r="I17" t="s">
        <v>76</v>
      </c>
      <c r="L17" s="31">
        <f t="shared" si="0"/>
        <v>0</v>
      </c>
    </row>
    <row r="18" spans="1:12" x14ac:dyDescent="0.2">
      <c r="A18" t="s">
        <v>80</v>
      </c>
      <c r="E18" s="1"/>
      <c r="G18" s="30">
        <v>0</v>
      </c>
      <c r="I18" t="s">
        <v>76</v>
      </c>
      <c r="L18" s="31">
        <f t="shared" si="0"/>
        <v>0</v>
      </c>
    </row>
    <row r="19" spans="1:12" x14ac:dyDescent="0.2">
      <c r="A19" t="s">
        <v>81</v>
      </c>
      <c r="E19" s="1"/>
      <c r="G19" s="30">
        <v>0</v>
      </c>
      <c r="I19" t="s">
        <v>76</v>
      </c>
      <c r="L19" s="31">
        <f t="shared" si="0"/>
        <v>0</v>
      </c>
    </row>
    <row r="20" spans="1:12" x14ac:dyDescent="0.2">
      <c r="A20" t="s">
        <v>82</v>
      </c>
      <c r="E20" s="1"/>
      <c r="G20" s="30">
        <v>0</v>
      </c>
      <c r="I20" t="s">
        <v>76</v>
      </c>
      <c r="L20" s="31">
        <f t="shared" si="0"/>
        <v>0</v>
      </c>
    </row>
    <row r="21" spans="1:12" x14ac:dyDescent="0.2">
      <c r="A21" s="13" t="s">
        <v>60</v>
      </c>
      <c r="E21" s="1"/>
      <c r="G21" s="30">
        <v>0</v>
      </c>
      <c r="I21" t="s">
        <v>76</v>
      </c>
      <c r="L21" s="31">
        <f t="shared" si="0"/>
        <v>0</v>
      </c>
    </row>
    <row r="22" spans="1:12" x14ac:dyDescent="0.2">
      <c r="A22" s="13" t="s">
        <v>60</v>
      </c>
      <c r="E22" s="1"/>
      <c r="G22" s="30">
        <v>0</v>
      </c>
      <c r="I22" t="s">
        <v>76</v>
      </c>
      <c r="L22" s="31">
        <f t="shared" si="0"/>
        <v>0</v>
      </c>
    </row>
    <row r="23" spans="1:12" x14ac:dyDescent="0.2">
      <c r="A23" s="13" t="s">
        <v>60</v>
      </c>
      <c r="E23" s="1"/>
      <c r="G23" s="30">
        <v>0</v>
      </c>
      <c r="I23" t="s">
        <v>76</v>
      </c>
      <c r="L23" s="31">
        <f t="shared" si="0"/>
        <v>0</v>
      </c>
    </row>
    <row r="24" spans="1:12" x14ac:dyDescent="0.2">
      <c r="E24" s="1"/>
      <c r="G24" s="1"/>
      <c r="K24" s="5" t="s">
        <v>83</v>
      </c>
      <c r="L24" s="33">
        <f>SUM(L14:L23)</f>
        <v>0</v>
      </c>
    </row>
    <row r="25" spans="1:12" x14ac:dyDescent="0.2">
      <c r="A25" s="11"/>
      <c r="B25" s="11"/>
      <c r="E25" s="1"/>
      <c r="L25" s="1"/>
    </row>
    <row r="26" spans="1:12" x14ac:dyDescent="0.2">
      <c r="A26" s="11" t="s">
        <v>55</v>
      </c>
      <c r="E26" s="1"/>
      <c r="G26" s="5" t="s">
        <v>56</v>
      </c>
    </row>
    <row r="27" spans="1:12" x14ac:dyDescent="0.2">
      <c r="A27" t="s">
        <v>84</v>
      </c>
      <c r="E27" s="1"/>
      <c r="G27" s="30">
        <v>0</v>
      </c>
      <c r="I27" t="s">
        <v>85</v>
      </c>
      <c r="L27" s="31">
        <f>G27/$G$9</f>
        <v>0</v>
      </c>
    </row>
    <row r="28" spans="1:12" x14ac:dyDescent="0.2">
      <c r="A28" t="s">
        <v>86</v>
      </c>
      <c r="D28" s="34"/>
      <c r="E28" s="35"/>
      <c r="G28" s="30">
        <v>0</v>
      </c>
      <c r="I28" t="s">
        <v>85</v>
      </c>
      <c r="L28" s="31">
        <f>G28/$G$9</f>
        <v>0</v>
      </c>
    </row>
    <row r="29" spans="1:12" x14ac:dyDescent="0.2">
      <c r="A29" t="s">
        <v>87</v>
      </c>
      <c r="E29" s="36" t="s">
        <v>88</v>
      </c>
    </row>
    <row r="30" spans="1:12" x14ac:dyDescent="0.2">
      <c r="E30" s="19">
        <v>0</v>
      </c>
      <c r="G30" s="30">
        <v>0</v>
      </c>
      <c r="I30" t="s">
        <v>89</v>
      </c>
      <c r="L30" s="31">
        <f>SUM(E30*G30)</f>
        <v>0</v>
      </c>
    </row>
    <row r="31" spans="1:12" x14ac:dyDescent="0.2">
      <c r="A31" t="s">
        <v>109</v>
      </c>
      <c r="D31" s="37" t="s">
        <v>90</v>
      </c>
      <c r="E31" s="37" t="s">
        <v>91</v>
      </c>
      <c r="G31" s="38">
        <v>0</v>
      </c>
      <c r="H31" s="10"/>
      <c r="I31" s="10"/>
      <c r="J31" s="10"/>
      <c r="K31" s="10"/>
      <c r="L31" s="39"/>
    </row>
    <row r="32" spans="1:12" x14ac:dyDescent="0.2">
      <c r="B32" t="s">
        <v>92</v>
      </c>
      <c r="D32" s="19">
        <v>0</v>
      </c>
      <c r="E32" s="19">
        <v>0</v>
      </c>
      <c r="G32" s="40">
        <f>SUM(D32+E32)*G9</f>
        <v>0</v>
      </c>
      <c r="I32" t="s">
        <v>85</v>
      </c>
      <c r="L32" s="41">
        <f>SUM(G32/G9)</f>
        <v>0</v>
      </c>
    </row>
    <row r="33" spans="1:12" x14ac:dyDescent="0.2">
      <c r="A33" t="s">
        <v>93</v>
      </c>
      <c r="E33" s="1"/>
      <c r="G33" s="30">
        <v>0</v>
      </c>
      <c r="I33" t="s">
        <v>85</v>
      </c>
      <c r="L33" s="31">
        <f>G33/$G$9</f>
        <v>0</v>
      </c>
    </row>
    <row r="34" spans="1:12" x14ac:dyDescent="0.2">
      <c r="A34" t="s">
        <v>94</v>
      </c>
      <c r="E34" s="1"/>
      <c r="G34" s="30">
        <v>0</v>
      </c>
      <c r="I34" t="s">
        <v>85</v>
      </c>
      <c r="L34" s="31">
        <f>G34/$G$9</f>
        <v>0</v>
      </c>
    </row>
    <row r="35" spans="1:12" x14ac:dyDescent="0.2">
      <c r="A35" t="s">
        <v>95</v>
      </c>
      <c r="E35" s="1"/>
      <c r="G35" s="30">
        <v>0</v>
      </c>
      <c r="I35" t="s">
        <v>85</v>
      </c>
      <c r="L35" s="31">
        <f>G35/$G$9</f>
        <v>0</v>
      </c>
    </row>
    <row r="36" spans="1:12" x14ac:dyDescent="0.2">
      <c r="A36" t="s">
        <v>96</v>
      </c>
      <c r="E36" s="1"/>
      <c r="G36" s="30">
        <v>0</v>
      </c>
      <c r="I36" t="s">
        <v>85</v>
      </c>
      <c r="L36" s="31">
        <f>G36/$G$9</f>
        <v>0</v>
      </c>
    </row>
    <row r="37" spans="1:12" x14ac:dyDescent="0.2">
      <c r="A37" t="s">
        <v>97</v>
      </c>
      <c r="E37" s="37" t="s">
        <v>98</v>
      </c>
    </row>
    <row r="38" spans="1:12" x14ac:dyDescent="0.2">
      <c r="E38" s="19">
        <v>1</v>
      </c>
      <c r="G38" s="42">
        <v>0</v>
      </c>
      <c r="I38" t="s">
        <v>85</v>
      </c>
      <c r="L38" s="40">
        <f>SUM(G38/E38)/G9</f>
        <v>0</v>
      </c>
    </row>
    <row r="39" spans="1:12" x14ac:dyDescent="0.2">
      <c r="A39" s="13" t="s">
        <v>60</v>
      </c>
      <c r="E39" s="1"/>
      <c r="G39" s="30">
        <v>0</v>
      </c>
      <c r="I39" t="s">
        <v>85</v>
      </c>
      <c r="L39" s="31">
        <f>G39/$G$9</f>
        <v>0</v>
      </c>
    </row>
    <row r="40" spans="1:12" x14ac:dyDescent="0.2">
      <c r="A40" s="13" t="s">
        <v>60</v>
      </c>
      <c r="E40" s="1"/>
      <c r="G40" s="30">
        <v>0</v>
      </c>
      <c r="I40" t="s">
        <v>85</v>
      </c>
      <c r="L40" s="31">
        <f>G40/$G$9</f>
        <v>0</v>
      </c>
    </row>
    <row r="41" spans="1:12" x14ac:dyDescent="0.2">
      <c r="A41" s="13" t="s">
        <v>60</v>
      </c>
      <c r="E41" s="1"/>
      <c r="G41" s="30">
        <v>0</v>
      </c>
      <c r="I41" t="s">
        <v>85</v>
      </c>
      <c r="L41" s="31">
        <f>G41/$G$9</f>
        <v>0</v>
      </c>
    </row>
    <row r="42" spans="1:12" x14ac:dyDescent="0.2">
      <c r="E42" s="1"/>
      <c r="G42" s="1"/>
      <c r="I42" s="5" t="s">
        <v>83</v>
      </c>
      <c r="L42" s="33">
        <f>SUM(L27:L41)</f>
        <v>0</v>
      </c>
    </row>
    <row r="43" spans="1:12" x14ac:dyDescent="0.2">
      <c r="E43" s="1"/>
      <c r="L43" s="43"/>
    </row>
    <row r="44" spans="1:12" x14ac:dyDescent="0.2">
      <c r="E44" s="1"/>
      <c r="G44" s="1"/>
      <c r="J44" s="5" t="s">
        <v>43</v>
      </c>
      <c r="L44" s="33">
        <f>L24+L42</f>
        <v>0</v>
      </c>
    </row>
    <row r="45" spans="1:12" x14ac:dyDescent="0.2">
      <c r="E45" s="1"/>
    </row>
    <row r="46" spans="1:12" x14ac:dyDescent="0.2">
      <c r="E46" s="1"/>
    </row>
    <row r="47" spans="1:12" x14ac:dyDescent="0.2">
      <c r="A47" s="44" t="s">
        <v>14</v>
      </c>
      <c r="B47" s="8" t="s">
        <v>16</v>
      </c>
      <c r="C47" s="4"/>
      <c r="E47" s="1"/>
      <c r="G47" s="45">
        <v>0.25</v>
      </c>
    </row>
    <row r="48" spans="1:12" x14ac:dyDescent="0.2">
      <c r="E48" s="1"/>
    </row>
    <row r="49" spans="1:12" x14ac:dyDescent="0.2">
      <c r="A49" s="8" t="s">
        <v>157</v>
      </c>
      <c r="B49" s="8" t="s">
        <v>101</v>
      </c>
      <c r="C49" s="8"/>
      <c r="D49" s="8"/>
      <c r="E49" s="24"/>
      <c r="F49" s="11"/>
      <c r="G49" s="11"/>
    </row>
    <row r="50" spans="1:12" x14ac:dyDescent="0.2">
      <c r="E50" s="1"/>
      <c r="K50" s="11" t="s">
        <v>39</v>
      </c>
      <c r="L50" s="33">
        <f>' Fixed Expenses'!L66</f>
        <v>10.633512432837685</v>
      </c>
    </row>
    <row r="51" spans="1:12" x14ac:dyDescent="0.2">
      <c r="E51" s="1"/>
    </row>
    <row r="52" spans="1:12" x14ac:dyDescent="0.2">
      <c r="C52" s="5" t="s">
        <v>42</v>
      </c>
      <c r="D52" s="33">
        <f>SUM(L50*H53)</f>
        <v>2.866175857907732E-2</v>
      </c>
      <c r="E52" s="1"/>
      <c r="K52" s="5" t="s">
        <v>102</v>
      </c>
      <c r="L52" s="33">
        <f>D54</f>
        <v>2.866175857907732E-2</v>
      </c>
    </row>
    <row r="53" spans="1:12" x14ac:dyDescent="0.2">
      <c r="C53" s="5" t="s">
        <v>43</v>
      </c>
      <c r="D53" s="33">
        <f>L44</f>
        <v>0</v>
      </c>
      <c r="E53" s="8" t="s">
        <v>103</v>
      </c>
      <c r="H53" s="46">
        <f>SUM(G8/' Fixed Expenses'!L3)</f>
        <v>2.6954177897574125E-3</v>
      </c>
      <c r="K53" s="5" t="s">
        <v>104</v>
      </c>
      <c r="L53" s="33">
        <f>L52*G47</f>
        <v>7.16543964476933E-3</v>
      </c>
    </row>
    <row r="54" spans="1:12" x14ac:dyDescent="0.2">
      <c r="C54" s="5" t="s">
        <v>102</v>
      </c>
      <c r="D54" s="33">
        <f>D52+D53</f>
        <v>2.866175857907732E-2</v>
      </c>
      <c r="E54" s="1"/>
      <c r="K54" s="5" t="s">
        <v>105</v>
      </c>
      <c r="L54" s="33">
        <f>L52+L53</f>
        <v>3.5827198223846647E-2</v>
      </c>
    </row>
    <row r="55" spans="1:12" x14ac:dyDescent="0.2">
      <c r="E55" s="1"/>
    </row>
    <row r="56" spans="1:12" x14ac:dyDescent="0.2">
      <c r="E56" s="1"/>
    </row>
    <row r="57" spans="1:12" x14ac:dyDescent="0.2">
      <c r="A57" s="8" t="s">
        <v>163</v>
      </c>
      <c r="B57" s="8" t="s">
        <v>15</v>
      </c>
      <c r="C57" s="8"/>
      <c r="D57" s="8"/>
      <c r="L57" s="10"/>
    </row>
    <row r="58" spans="1:12" x14ac:dyDescent="0.2">
      <c r="L58" s="81"/>
    </row>
    <row r="59" spans="1:12" x14ac:dyDescent="0.2">
      <c r="J59" s="76"/>
      <c r="K59" s="5" t="s">
        <v>17</v>
      </c>
      <c r="L59" s="52">
        <f>L52</f>
        <v>2.866175857907732E-2</v>
      </c>
    </row>
    <row r="61" spans="1:12" x14ac:dyDescent="0.2">
      <c r="F61" s="5" t="s">
        <v>165</v>
      </c>
      <c r="G61" s="80">
        <v>0</v>
      </c>
      <c r="H61" s="91" t="s">
        <v>35</v>
      </c>
    </row>
    <row r="62" spans="1:12" x14ac:dyDescent="0.2">
      <c r="F62" s="5" t="s">
        <v>162</v>
      </c>
      <c r="G62" s="79">
        <f>SUM(L62/L59)</f>
        <v>-1</v>
      </c>
      <c r="J62" s="76"/>
      <c r="K62" s="5" t="s">
        <v>18</v>
      </c>
      <c r="L62" s="52">
        <f>SUM(G61-L59)</f>
        <v>-2.866175857907732E-2</v>
      </c>
    </row>
    <row r="63" spans="1:12" x14ac:dyDescent="0.2">
      <c r="L63" s="10"/>
    </row>
    <row r="64" spans="1:12" x14ac:dyDescent="0.2">
      <c r="A64" s="8" t="s">
        <v>164</v>
      </c>
      <c r="B64" s="8" t="s">
        <v>158</v>
      </c>
      <c r="C64" s="8"/>
      <c r="D64" s="8"/>
      <c r="L64" s="10"/>
    </row>
    <row r="65" spans="6:12" x14ac:dyDescent="0.2">
      <c r="L65" s="10"/>
    </row>
    <row r="66" spans="6:12" x14ac:dyDescent="0.2">
      <c r="F66" s="5" t="s">
        <v>18</v>
      </c>
      <c r="G66" s="77">
        <f>L62</f>
        <v>-2.866175857907732E-2</v>
      </c>
      <c r="L66" s="10"/>
    </row>
    <row r="67" spans="6:12" x14ac:dyDescent="0.2">
      <c r="F67" s="5" t="s">
        <v>159</v>
      </c>
      <c r="G67" s="74">
        <f>G8</f>
        <v>1</v>
      </c>
      <c r="L67" s="10"/>
    </row>
    <row r="68" spans="6:12" x14ac:dyDescent="0.2">
      <c r="L68" s="10"/>
    </row>
    <row r="69" spans="6:12" x14ac:dyDescent="0.2">
      <c r="F69" s="5" t="s">
        <v>160</v>
      </c>
      <c r="G69" s="78">
        <f>SUM(G67*G66)</f>
        <v>-2.866175857907732E-2</v>
      </c>
    </row>
  </sheetData>
  <phoneticPr fontId="0" type="noConversion"/>
  <pageMargins left="0.75" right="0.75" top="1" bottom="1" header="0.5" footer="0.5"/>
  <pageSetup orientation="landscape" horizontalDpi="360" verticalDpi="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C493B-6975-45F9-980A-BBC41D32BD89}">
  <sheetPr codeName="Sheet12"/>
  <dimension ref="A2:M69"/>
  <sheetViews>
    <sheetView workbookViewId="0">
      <selection activeCell="O58" sqref="N54:O58"/>
    </sheetView>
  </sheetViews>
  <sheetFormatPr defaultColWidth="8.85546875" defaultRowHeight="12.75" x14ac:dyDescent="0.2"/>
  <cols>
    <col min="1" max="1" width="10.140625" customWidth="1"/>
    <col min="2" max="2" width="17.42578125" customWidth="1"/>
    <col min="3" max="3" width="12.42578125" customWidth="1"/>
    <col min="4" max="6" width="8.85546875" customWidth="1"/>
    <col min="7" max="7" width="13.42578125" customWidth="1"/>
    <col min="8" max="10" width="8.85546875" customWidth="1"/>
    <col min="11" max="11" width="15.42578125" customWidth="1"/>
  </cols>
  <sheetData>
    <row r="2" spans="1:13" x14ac:dyDescent="0.2">
      <c r="A2" s="11" t="s">
        <v>9</v>
      </c>
      <c r="B2" s="11"/>
      <c r="C2" s="3" t="s">
        <v>124</v>
      </c>
      <c r="D2" s="3"/>
    </row>
    <row r="3" spans="1:13" x14ac:dyDescent="0.2">
      <c r="E3" s="1"/>
      <c r="I3" s="5"/>
      <c r="J3" s="23"/>
      <c r="L3" s="49"/>
      <c r="M3" s="10"/>
    </row>
    <row r="4" spans="1:13" x14ac:dyDescent="0.2">
      <c r="E4" s="1"/>
      <c r="I4" s="5"/>
      <c r="J4" s="23"/>
    </row>
    <row r="5" spans="1:13" x14ac:dyDescent="0.2">
      <c r="A5" s="8" t="s">
        <v>99</v>
      </c>
      <c r="B5" s="8" t="s">
        <v>70</v>
      </c>
      <c r="C5" s="8"/>
      <c r="D5" s="8"/>
      <c r="E5" s="24"/>
      <c r="I5" s="5"/>
      <c r="J5" s="23"/>
    </row>
    <row r="6" spans="1:13" x14ac:dyDescent="0.2">
      <c r="A6" s="8"/>
      <c r="B6" s="8"/>
      <c r="C6" s="8"/>
      <c r="D6" s="8"/>
      <c r="E6" s="24"/>
      <c r="I6" s="5"/>
      <c r="J6" s="23"/>
    </row>
    <row r="7" spans="1:13" x14ac:dyDescent="0.2">
      <c r="A7" s="25" t="s">
        <v>106</v>
      </c>
      <c r="B7" s="4"/>
      <c r="C7" s="4"/>
      <c r="E7" s="24"/>
      <c r="G7" s="26" t="s">
        <v>10</v>
      </c>
      <c r="I7" s="5"/>
      <c r="J7" s="23"/>
      <c r="K7" s="5" t="s">
        <v>52</v>
      </c>
      <c r="L7" s="3">
        <f>'Data Entry'!G21</f>
        <v>371</v>
      </c>
    </row>
    <row r="8" spans="1:13" x14ac:dyDescent="0.2">
      <c r="A8" s="27" t="s">
        <v>71</v>
      </c>
      <c r="B8" s="25"/>
      <c r="C8" s="25"/>
      <c r="E8" s="24"/>
      <c r="G8" s="50">
        <f>'Data Entry'!G19</f>
        <v>0</v>
      </c>
      <c r="H8" s="59" t="s">
        <v>33</v>
      </c>
      <c r="I8" s="5"/>
      <c r="J8" s="23"/>
    </row>
    <row r="9" spans="1:13" x14ac:dyDescent="0.2">
      <c r="A9" s="27" t="s">
        <v>72</v>
      </c>
      <c r="B9" s="25"/>
      <c r="C9" s="25"/>
      <c r="E9" s="1"/>
      <c r="G9" s="28">
        <v>10</v>
      </c>
      <c r="K9" s="5"/>
      <c r="L9" s="23"/>
    </row>
    <row r="10" spans="1:13" x14ac:dyDescent="0.2">
      <c r="A10" s="27"/>
      <c r="B10" s="25"/>
      <c r="C10" s="25"/>
      <c r="D10" s="29"/>
      <c r="E10" s="1"/>
      <c r="K10" s="5"/>
      <c r="L10" s="23"/>
    </row>
    <row r="11" spans="1:13" x14ac:dyDescent="0.2">
      <c r="A11" s="8" t="s">
        <v>100</v>
      </c>
      <c r="B11" s="8" t="s">
        <v>74</v>
      </c>
      <c r="C11" s="4"/>
      <c r="D11" s="4"/>
      <c r="E11" s="9"/>
    </row>
    <row r="12" spans="1:13" x14ac:dyDescent="0.2">
      <c r="A12" s="11"/>
      <c r="B12" s="11"/>
      <c r="E12" s="1"/>
    </row>
    <row r="13" spans="1:13" x14ac:dyDescent="0.2">
      <c r="A13" s="11" t="s">
        <v>55</v>
      </c>
      <c r="E13" s="1"/>
      <c r="G13" s="5" t="s">
        <v>56</v>
      </c>
    </row>
    <row r="14" spans="1:13" x14ac:dyDescent="0.2">
      <c r="A14" t="s">
        <v>75</v>
      </c>
      <c r="E14" s="1"/>
      <c r="G14" s="30">
        <v>0</v>
      </c>
      <c r="I14" t="s">
        <v>76</v>
      </c>
      <c r="L14" s="31">
        <f t="shared" ref="L14:L23" si="0">G14</f>
        <v>0</v>
      </c>
    </row>
    <row r="15" spans="1:13" x14ac:dyDescent="0.2">
      <c r="A15" t="s">
        <v>77</v>
      </c>
      <c r="E15" s="1"/>
      <c r="G15" s="30">
        <v>0</v>
      </c>
      <c r="I15" t="s">
        <v>76</v>
      </c>
      <c r="L15" s="31">
        <f t="shared" si="0"/>
        <v>0</v>
      </c>
    </row>
    <row r="16" spans="1:13" x14ac:dyDescent="0.2">
      <c r="A16" t="s">
        <v>78</v>
      </c>
      <c r="E16" s="1"/>
      <c r="G16" s="32">
        <v>0</v>
      </c>
      <c r="I16" t="s">
        <v>76</v>
      </c>
      <c r="L16" s="31">
        <f t="shared" si="0"/>
        <v>0</v>
      </c>
    </row>
    <row r="17" spans="1:12" x14ac:dyDescent="0.2">
      <c r="A17" t="s">
        <v>79</v>
      </c>
      <c r="E17" s="1"/>
      <c r="G17" s="30">
        <v>0</v>
      </c>
      <c r="I17" t="s">
        <v>76</v>
      </c>
      <c r="L17" s="31">
        <f t="shared" si="0"/>
        <v>0</v>
      </c>
    </row>
    <row r="18" spans="1:12" x14ac:dyDescent="0.2">
      <c r="A18" t="s">
        <v>80</v>
      </c>
      <c r="E18" s="1"/>
      <c r="G18" s="30">
        <v>0</v>
      </c>
      <c r="I18" t="s">
        <v>76</v>
      </c>
      <c r="L18" s="31">
        <f t="shared" si="0"/>
        <v>0</v>
      </c>
    </row>
    <row r="19" spans="1:12" x14ac:dyDescent="0.2">
      <c r="A19" t="s">
        <v>81</v>
      </c>
      <c r="E19" s="1"/>
      <c r="G19" s="30">
        <v>0</v>
      </c>
      <c r="I19" t="s">
        <v>76</v>
      </c>
      <c r="L19" s="31">
        <f t="shared" si="0"/>
        <v>0</v>
      </c>
    </row>
    <row r="20" spans="1:12" x14ac:dyDescent="0.2">
      <c r="A20" t="s">
        <v>82</v>
      </c>
      <c r="E20" s="1"/>
      <c r="G20" s="30">
        <v>0</v>
      </c>
      <c r="I20" t="s">
        <v>76</v>
      </c>
      <c r="L20" s="31">
        <f t="shared" si="0"/>
        <v>0</v>
      </c>
    </row>
    <row r="21" spans="1:12" x14ac:dyDescent="0.2">
      <c r="A21" s="13" t="s">
        <v>60</v>
      </c>
      <c r="E21" s="1"/>
      <c r="G21" s="30">
        <v>0</v>
      </c>
      <c r="I21" t="s">
        <v>76</v>
      </c>
      <c r="L21" s="31">
        <f t="shared" si="0"/>
        <v>0</v>
      </c>
    </row>
    <row r="22" spans="1:12" x14ac:dyDescent="0.2">
      <c r="A22" s="13" t="s">
        <v>60</v>
      </c>
      <c r="E22" s="1"/>
      <c r="G22" s="30">
        <v>0</v>
      </c>
      <c r="I22" t="s">
        <v>76</v>
      </c>
      <c r="L22" s="31">
        <f t="shared" si="0"/>
        <v>0</v>
      </c>
    </row>
    <row r="23" spans="1:12" x14ac:dyDescent="0.2">
      <c r="A23" s="13" t="s">
        <v>60</v>
      </c>
      <c r="E23" s="1"/>
      <c r="G23" s="30">
        <v>0</v>
      </c>
      <c r="I23" t="s">
        <v>76</v>
      </c>
      <c r="L23" s="31">
        <f t="shared" si="0"/>
        <v>0</v>
      </c>
    </row>
    <row r="24" spans="1:12" x14ac:dyDescent="0.2">
      <c r="E24" s="1"/>
      <c r="G24" s="1"/>
      <c r="K24" s="5" t="s">
        <v>83</v>
      </c>
      <c r="L24" s="33">
        <f>SUM(L14:L23)</f>
        <v>0</v>
      </c>
    </row>
    <row r="25" spans="1:12" x14ac:dyDescent="0.2">
      <c r="A25" s="11"/>
      <c r="B25" s="11"/>
      <c r="E25" s="1"/>
      <c r="L25" s="1"/>
    </row>
    <row r="26" spans="1:12" x14ac:dyDescent="0.2">
      <c r="A26" s="11" t="s">
        <v>55</v>
      </c>
      <c r="E26" s="1"/>
      <c r="G26" s="5" t="s">
        <v>56</v>
      </c>
    </row>
    <row r="27" spans="1:12" x14ac:dyDescent="0.2">
      <c r="A27" t="s">
        <v>84</v>
      </c>
      <c r="E27" s="1"/>
      <c r="G27" s="30">
        <v>0</v>
      </c>
      <c r="I27" t="s">
        <v>85</v>
      </c>
      <c r="L27" s="31">
        <f>G27/$G$9</f>
        <v>0</v>
      </c>
    </row>
    <row r="28" spans="1:12" x14ac:dyDescent="0.2">
      <c r="A28" t="s">
        <v>86</v>
      </c>
      <c r="D28" s="34"/>
      <c r="E28" s="35"/>
      <c r="G28" s="30">
        <v>0</v>
      </c>
      <c r="I28" t="s">
        <v>85</v>
      </c>
      <c r="L28" s="31">
        <f>G28/$G$9</f>
        <v>0</v>
      </c>
    </row>
    <row r="29" spans="1:12" x14ac:dyDescent="0.2">
      <c r="A29" t="s">
        <v>87</v>
      </c>
      <c r="E29" s="36" t="s">
        <v>88</v>
      </c>
    </row>
    <row r="30" spans="1:12" x14ac:dyDescent="0.2">
      <c r="D30" t="s">
        <v>173</v>
      </c>
      <c r="E30" s="19">
        <v>15</v>
      </c>
      <c r="G30" s="30">
        <v>1.5</v>
      </c>
      <c r="I30" t="s">
        <v>89</v>
      </c>
      <c r="L30" s="31">
        <f>SUM(E30*G30)</f>
        <v>22.5</v>
      </c>
    </row>
    <row r="31" spans="1:12" x14ac:dyDescent="0.2">
      <c r="A31" t="s">
        <v>50</v>
      </c>
      <c r="D31" s="37" t="s">
        <v>90</v>
      </c>
      <c r="E31" s="37" t="s">
        <v>91</v>
      </c>
      <c r="G31" s="38"/>
      <c r="H31" s="10"/>
      <c r="I31" s="10"/>
      <c r="J31" s="10"/>
      <c r="K31" s="10"/>
      <c r="L31" s="39"/>
    </row>
    <row r="32" spans="1:12" x14ac:dyDescent="0.2">
      <c r="B32" t="s">
        <v>92</v>
      </c>
      <c r="D32" s="19">
        <v>0</v>
      </c>
      <c r="E32" s="19">
        <v>0</v>
      </c>
      <c r="G32" s="40">
        <f>SUM(D32+E32)*G9</f>
        <v>0</v>
      </c>
      <c r="I32" t="s">
        <v>85</v>
      </c>
      <c r="L32" s="41">
        <f>SUM(G32/G9)</f>
        <v>0</v>
      </c>
    </row>
    <row r="33" spans="1:12" x14ac:dyDescent="0.2">
      <c r="A33" t="s">
        <v>93</v>
      </c>
      <c r="E33" s="1"/>
      <c r="G33" s="30">
        <v>0</v>
      </c>
      <c r="I33" t="s">
        <v>85</v>
      </c>
      <c r="L33" s="31">
        <f>G33/$G$9</f>
        <v>0</v>
      </c>
    </row>
    <row r="34" spans="1:12" x14ac:dyDescent="0.2">
      <c r="A34" t="s">
        <v>94</v>
      </c>
      <c r="E34" s="1"/>
      <c r="G34" s="30">
        <v>0</v>
      </c>
      <c r="I34" t="s">
        <v>85</v>
      </c>
      <c r="L34" s="31">
        <f>G34/$G$9</f>
        <v>0</v>
      </c>
    </row>
    <row r="35" spans="1:12" x14ac:dyDescent="0.2">
      <c r="A35" t="s">
        <v>95</v>
      </c>
      <c r="E35" s="1"/>
      <c r="G35" s="30">
        <v>0</v>
      </c>
      <c r="I35" t="s">
        <v>85</v>
      </c>
      <c r="L35" s="31">
        <f>G35/$G$9</f>
        <v>0</v>
      </c>
    </row>
    <row r="36" spans="1:12" x14ac:dyDescent="0.2">
      <c r="A36" t="s">
        <v>96</v>
      </c>
      <c r="E36" s="1"/>
      <c r="G36" s="30">
        <v>0</v>
      </c>
      <c r="I36" t="s">
        <v>85</v>
      </c>
      <c r="L36" s="31">
        <f>G36/$G$9</f>
        <v>0</v>
      </c>
    </row>
    <row r="37" spans="1:12" x14ac:dyDescent="0.2">
      <c r="A37" t="s">
        <v>97</v>
      </c>
      <c r="E37" s="37" t="s">
        <v>98</v>
      </c>
    </row>
    <row r="38" spans="1:12" x14ac:dyDescent="0.2">
      <c r="E38" s="19">
        <v>3</v>
      </c>
      <c r="G38" s="42">
        <v>200</v>
      </c>
      <c r="I38" t="s">
        <v>85</v>
      </c>
      <c r="L38" s="40">
        <f>SUM(G38/E38)/G9</f>
        <v>6.666666666666667</v>
      </c>
    </row>
    <row r="39" spans="1:12" x14ac:dyDescent="0.2">
      <c r="A39" s="13" t="s">
        <v>60</v>
      </c>
      <c r="E39" s="1"/>
      <c r="G39" s="30">
        <v>0</v>
      </c>
      <c r="I39" t="s">
        <v>85</v>
      </c>
      <c r="L39" s="31">
        <f>G39/$G$9</f>
        <v>0</v>
      </c>
    </row>
    <row r="40" spans="1:12" x14ac:dyDescent="0.2">
      <c r="A40" s="13" t="s">
        <v>60</v>
      </c>
      <c r="E40" s="1"/>
      <c r="G40" s="30">
        <v>0</v>
      </c>
      <c r="I40" t="s">
        <v>85</v>
      </c>
      <c r="L40" s="31">
        <f>G40/$G$9</f>
        <v>0</v>
      </c>
    </row>
    <row r="41" spans="1:12" x14ac:dyDescent="0.2">
      <c r="A41" s="13" t="s">
        <v>60</v>
      </c>
      <c r="E41" s="1"/>
      <c r="G41" s="30">
        <v>0</v>
      </c>
      <c r="I41" t="s">
        <v>85</v>
      </c>
      <c r="L41" s="31">
        <f>G41/$G$9</f>
        <v>0</v>
      </c>
    </row>
    <row r="42" spans="1:12" x14ac:dyDescent="0.2">
      <c r="E42" s="1"/>
      <c r="G42" s="1"/>
      <c r="I42" s="5" t="s">
        <v>83</v>
      </c>
      <c r="L42" s="33">
        <f>SUM(L27:L41)</f>
        <v>29.166666666666668</v>
      </c>
    </row>
    <row r="43" spans="1:12" x14ac:dyDescent="0.2">
      <c r="E43" s="1"/>
      <c r="L43" s="43"/>
    </row>
    <row r="44" spans="1:12" x14ac:dyDescent="0.2">
      <c r="E44" s="1"/>
      <c r="G44" s="1"/>
      <c r="J44" s="5" t="s">
        <v>43</v>
      </c>
      <c r="L44" s="33">
        <f>L24+L42</f>
        <v>29.166666666666668</v>
      </c>
    </row>
    <row r="45" spans="1:12" x14ac:dyDescent="0.2">
      <c r="E45" s="1"/>
    </row>
    <row r="46" spans="1:12" x14ac:dyDescent="0.2">
      <c r="E46" s="1"/>
    </row>
    <row r="47" spans="1:12" x14ac:dyDescent="0.2">
      <c r="A47" s="44" t="s">
        <v>14</v>
      </c>
      <c r="B47" s="8" t="s">
        <v>16</v>
      </c>
      <c r="C47" s="4"/>
      <c r="E47" s="1"/>
      <c r="G47" s="45">
        <v>0.25</v>
      </c>
    </row>
    <row r="48" spans="1:12" x14ac:dyDescent="0.2">
      <c r="E48" s="1"/>
    </row>
    <row r="49" spans="1:13" x14ac:dyDescent="0.2">
      <c r="A49" s="8" t="s">
        <v>157</v>
      </c>
      <c r="B49" s="8" t="s">
        <v>101</v>
      </c>
      <c r="C49" s="8"/>
      <c r="D49" s="8"/>
      <c r="E49" s="24"/>
      <c r="F49" s="11"/>
      <c r="G49" s="11"/>
    </row>
    <row r="50" spans="1:13" x14ac:dyDescent="0.2">
      <c r="E50" s="1"/>
      <c r="K50" s="11" t="s">
        <v>39</v>
      </c>
      <c r="L50" s="33">
        <f>' Fixed Expenses'!L66</f>
        <v>10.633512432837685</v>
      </c>
    </row>
    <row r="51" spans="1:13" x14ac:dyDescent="0.2">
      <c r="E51" s="1"/>
    </row>
    <row r="52" spans="1:13" x14ac:dyDescent="0.2">
      <c r="C52" s="5" t="s">
        <v>42</v>
      </c>
      <c r="D52" s="33">
        <f>SUM(L50*H53)</f>
        <v>0</v>
      </c>
      <c r="E52" s="1"/>
      <c r="K52" s="5" t="s">
        <v>102</v>
      </c>
      <c r="L52" s="33">
        <f>D54</f>
        <v>29.166666666666668</v>
      </c>
    </row>
    <row r="53" spans="1:13" x14ac:dyDescent="0.2">
      <c r="C53" s="5" t="s">
        <v>43</v>
      </c>
      <c r="D53" s="33">
        <f>L44</f>
        <v>29.166666666666668</v>
      </c>
      <c r="E53" s="8" t="s">
        <v>103</v>
      </c>
      <c r="H53" s="46">
        <f>SUM(G8/' Fixed Expenses'!L3)</f>
        <v>0</v>
      </c>
      <c r="K53" s="5" t="s">
        <v>104</v>
      </c>
      <c r="L53" s="33">
        <f>L52*G47</f>
        <v>7.291666666666667</v>
      </c>
    </row>
    <row r="54" spans="1:13" x14ac:dyDescent="0.2">
      <c r="C54" s="5" t="s">
        <v>102</v>
      </c>
      <c r="D54" s="33">
        <f>D52+D53</f>
        <v>29.166666666666668</v>
      </c>
      <c r="E54" s="1"/>
      <c r="K54" s="5" t="s">
        <v>105</v>
      </c>
      <c r="L54" s="33">
        <f>L52+L53</f>
        <v>36.458333333333336</v>
      </c>
    </row>
    <row r="55" spans="1:13" x14ac:dyDescent="0.2">
      <c r="E55" s="1"/>
    </row>
    <row r="56" spans="1:13" x14ac:dyDescent="0.2">
      <c r="E56" s="1"/>
    </row>
    <row r="57" spans="1:13" x14ac:dyDescent="0.2">
      <c r="A57" s="8" t="s">
        <v>163</v>
      </c>
      <c r="B57" s="8" t="s">
        <v>15</v>
      </c>
      <c r="C57" s="8"/>
      <c r="D57" s="8"/>
      <c r="L57" s="10"/>
      <c r="M57" s="10"/>
    </row>
    <row r="58" spans="1:13" x14ac:dyDescent="0.2">
      <c r="L58" s="81"/>
      <c r="M58" s="10"/>
    </row>
    <row r="59" spans="1:13" x14ac:dyDescent="0.2">
      <c r="J59" s="76"/>
      <c r="K59" s="5" t="s">
        <v>17</v>
      </c>
      <c r="L59" s="52">
        <f>L52</f>
        <v>29.166666666666668</v>
      </c>
      <c r="M59" s="10"/>
    </row>
    <row r="60" spans="1:13" x14ac:dyDescent="0.2">
      <c r="M60" s="10"/>
    </row>
    <row r="61" spans="1:13" x14ac:dyDescent="0.2">
      <c r="F61" s="5" t="s">
        <v>165</v>
      </c>
      <c r="G61" s="80">
        <v>0</v>
      </c>
      <c r="H61" s="91" t="s">
        <v>35</v>
      </c>
      <c r="M61" s="10"/>
    </row>
    <row r="62" spans="1:13" x14ac:dyDescent="0.2">
      <c r="F62" s="5" t="s">
        <v>162</v>
      </c>
      <c r="G62" s="79">
        <f>SUM(L62/L59)</f>
        <v>-1</v>
      </c>
      <c r="J62" s="76"/>
      <c r="K62" s="5" t="s">
        <v>18</v>
      </c>
      <c r="L62" s="52">
        <f>SUM(G61-L59)</f>
        <v>-29.166666666666668</v>
      </c>
    </row>
    <row r="63" spans="1:13" x14ac:dyDescent="0.2">
      <c r="L63" s="10"/>
    </row>
    <row r="64" spans="1:13" x14ac:dyDescent="0.2">
      <c r="A64" s="8" t="s">
        <v>164</v>
      </c>
      <c r="B64" s="8" t="s">
        <v>158</v>
      </c>
      <c r="C64" s="8"/>
      <c r="D64" s="8"/>
      <c r="L64" s="10"/>
    </row>
    <row r="65" spans="6:12" x14ac:dyDescent="0.2">
      <c r="L65" s="10"/>
    </row>
    <row r="66" spans="6:12" x14ac:dyDescent="0.2">
      <c r="F66" s="5" t="s">
        <v>18</v>
      </c>
      <c r="G66" s="77">
        <f>L62</f>
        <v>-29.166666666666668</v>
      </c>
      <c r="L66" s="10"/>
    </row>
    <row r="67" spans="6:12" x14ac:dyDescent="0.2">
      <c r="F67" s="5" t="s">
        <v>159</v>
      </c>
      <c r="G67" s="74">
        <f>G8</f>
        <v>0</v>
      </c>
      <c r="L67" s="10"/>
    </row>
    <row r="68" spans="6:12" x14ac:dyDescent="0.2">
      <c r="L68" s="10"/>
    </row>
    <row r="69" spans="6:12" x14ac:dyDescent="0.2">
      <c r="F69" s="5" t="s">
        <v>160</v>
      </c>
      <c r="G69" s="78">
        <f>SUM(G67*G66)</f>
        <v>0</v>
      </c>
    </row>
  </sheetData>
  <phoneticPr fontId="0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5495B-DC5E-4B08-8C6E-792DE16D789B}">
  <sheetPr codeName="Sheet13"/>
  <dimension ref="A2:P69"/>
  <sheetViews>
    <sheetView workbookViewId="0">
      <selection activeCell="H34" sqref="H34"/>
    </sheetView>
  </sheetViews>
  <sheetFormatPr defaultColWidth="8.85546875" defaultRowHeight="12.75" x14ac:dyDescent="0.2"/>
  <cols>
    <col min="1" max="5" width="8.85546875" customWidth="1"/>
    <col min="6" max="6" width="10.42578125" customWidth="1"/>
    <col min="7" max="7" width="13.28515625" customWidth="1"/>
    <col min="8" max="10" width="8.85546875" customWidth="1"/>
    <col min="11" max="11" width="16.140625" customWidth="1"/>
    <col min="12" max="12" width="11.42578125" customWidth="1"/>
  </cols>
  <sheetData>
    <row r="2" spans="1:16" x14ac:dyDescent="0.2">
      <c r="A2" s="11" t="s">
        <v>9</v>
      </c>
      <c r="B2" s="11"/>
      <c r="C2" s="3" t="str">
        <f>'Data Entry'!E20</f>
        <v>Bubblemaker</v>
      </c>
      <c r="D2" s="3"/>
    </row>
    <row r="3" spans="1:16" x14ac:dyDescent="0.2">
      <c r="E3" s="1"/>
      <c r="I3" s="5"/>
      <c r="J3" s="23"/>
      <c r="N3" s="49"/>
      <c r="O3" s="49"/>
      <c r="P3" s="10"/>
    </row>
    <row r="4" spans="1:16" x14ac:dyDescent="0.2">
      <c r="E4" s="1"/>
      <c r="I4" s="5"/>
      <c r="J4" s="23"/>
    </row>
    <row r="5" spans="1:16" x14ac:dyDescent="0.2">
      <c r="A5" s="8" t="s">
        <v>99</v>
      </c>
      <c r="B5" s="8" t="s">
        <v>70</v>
      </c>
      <c r="C5" s="8"/>
      <c r="D5" s="8"/>
      <c r="E5" s="24"/>
      <c r="I5" s="5"/>
      <c r="J5" s="23"/>
    </row>
    <row r="6" spans="1:16" x14ac:dyDescent="0.2">
      <c r="A6" s="8"/>
      <c r="B6" s="8"/>
      <c r="C6" s="8"/>
      <c r="D6" s="8"/>
      <c r="E6" s="24"/>
      <c r="I6" s="5"/>
      <c r="J6" s="23"/>
    </row>
    <row r="7" spans="1:16" x14ac:dyDescent="0.2">
      <c r="A7" s="25" t="s">
        <v>106</v>
      </c>
      <c r="B7" s="4"/>
      <c r="C7" s="4"/>
      <c r="E7" s="24"/>
      <c r="G7" s="26" t="s">
        <v>10</v>
      </c>
      <c r="I7" s="5"/>
      <c r="J7" s="23"/>
      <c r="K7" s="5" t="s">
        <v>52</v>
      </c>
      <c r="L7" s="3">
        <f>'Data Entry'!G21</f>
        <v>371</v>
      </c>
    </row>
    <row r="8" spans="1:16" x14ac:dyDescent="0.2">
      <c r="A8" s="27" t="s">
        <v>71</v>
      </c>
      <c r="B8" s="25"/>
      <c r="C8" s="25"/>
      <c r="E8" s="24"/>
      <c r="G8" s="50">
        <f>'Data Entry'!G20</f>
        <v>15</v>
      </c>
      <c r="H8" s="59" t="s">
        <v>33</v>
      </c>
      <c r="I8" s="5"/>
      <c r="J8" s="23"/>
    </row>
    <row r="9" spans="1:16" x14ac:dyDescent="0.2">
      <c r="A9" s="27" t="s">
        <v>72</v>
      </c>
      <c r="B9" s="25"/>
      <c r="C9" s="25"/>
      <c r="E9" s="1"/>
      <c r="G9" s="28">
        <v>8</v>
      </c>
      <c r="K9" s="5"/>
      <c r="L9" s="23"/>
    </row>
    <row r="10" spans="1:16" x14ac:dyDescent="0.2">
      <c r="A10" s="27"/>
      <c r="B10" s="25"/>
      <c r="C10" s="25"/>
      <c r="D10" s="29"/>
      <c r="E10" s="1"/>
      <c r="K10" s="5"/>
      <c r="L10" s="23"/>
    </row>
    <row r="11" spans="1:16" x14ac:dyDescent="0.2">
      <c r="A11" s="8" t="s">
        <v>100</v>
      </c>
      <c r="B11" s="8" t="s">
        <v>74</v>
      </c>
      <c r="C11" s="4"/>
      <c r="D11" s="4"/>
      <c r="E11" s="9"/>
    </row>
    <row r="12" spans="1:16" x14ac:dyDescent="0.2">
      <c r="A12" s="11"/>
      <c r="B12" s="11"/>
      <c r="E12" s="1"/>
    </row>
    <row r="13" spans="1:16" x14ac:dyDescent="0.2">
      <c r="A13" s="11" t="s">
        <v>55</v>
      </c>
      <c r="E13" s="1"/>
      <c r="G13" s="5" t="s">
        <v>56</v>
      </c>
    </row>
    <row r="14" spans="1:16" x14ac:dyDescent="0.2">
      <c r="A14" t="s">
        <v>75</v>
      </c>
      <c r="E14" s="1"/>
      <c r="G14" s="30">
        <v>0</v>
      </c>
      <c r="I14" t="s">
        <v>76</v>
      </c>
      <c r="L14" s="31">
        <f t="shared" ref="L14:L23" si="0">G14</f>
        <v>0</v>
      </c>
    </row>
    <row r="15" spans="1:16" x14ac:dyDescent="0.2">
      <c r="A15" t="s">
        <v>77</v>
      </c>
      <c r="E15" s="1"/>
      <c r="G15" s="30">
        <v>0</v>
      </c>
      <c r="I15" t="s">
        <v>76</v>
      </c>
      <c r="L15" s="31">
        <f t="shared" si="0"/>
        <v>0</v>
      </c>
    </row>
    <row r="16" spans="1:16" x14ac:dyDescent="0.2">
      <c r="A16" t="s">
        <v>78</v>
      </c>
      <c r="E16" s="1"/>
      <c r="G16" s="32">
        <v>0</v>
      </c>
      <c r="I16" t="s">
        <v>76</v>
      </c>
      <c r="L16" s="31">
        <f t="shared" si="0"/>
        <v>0</v>
      </c>
    </row>
    <row r="17" spans="1:12" x14ac:dyDescent="0.2">
      <c r="A17" t="s">
        <v>79</v>
      </c>
      <c r="E17" s="1"/>
      <c r="G17" s="30">
        <v>0</v>
      </c>
      <c r="I17" t="s">
        <v>76</v>
      </c>
      <c r="L17" s="31">
        <f t="shared" si="0"/>
        <v>0</v>
      </c>
    </row>
    <row r="18" spans="1:12" x14ac:dyDescent="0.2">
      <c r="A18" t="s">
        <v>80</v>
      </c>
      <c r="E18" s="1"/>
      <c r="G18" s="30">
        <v>0</v>
      </c>
      <c r="I18" t="s">
        <v>76</v>
      </c>
      <c r="L18" s="31">
        <f t="shared" si="0"/>
        <v>0</v>
      </c>
    </row>
    <row r="19" spans="1:12" x14ac:dyDescent="0.2">
      <c r="A19" t="s">
        <v>81</v>
      </c>
      <c r="E19" s="1"/>
      <c r="G19" s="30">
        <v>0</v>
      </c>
      <c r="I19" t="s">
        <v>76</v>
      </c>
      <c r="L19" s="31">
        <f t="shared" si="0"/>
        <v>0</v>
      </c>
    </row>
    <row r="20" spans="1:12" x14ac:dyDescent="0.2">
      <c r="A20" t="s">
        <v>82</v>
      </c>
      <c r="E20" s="1"/>
      <c r="G20" s="30">
        <v>0</v>
      </c>
      <c r="I20" t="s">
        <v>76</v>
      </c>
      <c r="L20" s="31">
        <f t="shared" si="0"/>
        <v>0</v>
      </c>
    </row>
    <row r="21" spans="1:12" x14ac:dyDescent="0.2">
      <c r="A21" s="13" t="s">
        <v>60</v>
      </c>
      <c r="E21" s="1"/>
      <c r="G21" s="30">
        <v>0</v>
      </c>
      <c r="I21" t="s">
        <v>76</v>
      </c>
      <c r="L21" s="31">
        <f t="shared" si="0"/>
        <v>0</v>
      </c>
    </row>
    <row r="22" spans="1:12" x14ac:dyDescent="0.2">
      <c r="A22" s="13" t="s">
        <v>60</v>
      </c>
      <c r="E22" s="1"/>
      <c r="G22" s="30">
        <v>0</v>
      </c>
      <c r="I22" t="s">
        <v>76</v>
      </c>
      <c r="L22" s="31">
        <f t="shared" si="0"/>
        <v>0</v>
      </c>
    </row>
    <row r="23" spans="1:12" x14ac:dyDescent="0.2">
      <c r="A23" s="13" t="s">
        <v>60</v>
      </c>
      <c r="E23" s="1"/>
      <c r="G23" s="30">
        <v>0</v>
      </c>
      <c r="I23" t="s">
        <v>76</v>
      </c>
      <c r="L23" s="31">
        <f t="shared" si="0"/>
        <v>0</v>
      </c>
    </row>
    <row r="24" spans="1:12" x14ac:dyDescent="0.2">
      <c r="E24" s="1"/>
      <c r="G24" s="1"/>
      <c r="K24" s="5" t="s">
        <v>83</v>
      </c>
      <c r="L24" s="33">
        <f>SUM(L14:L23)</f>
        <v>0</v>
      </c>
    </row>
    <row r="25" spans="1:12" x14ac:dyDescent="0.2">
      <c r="A25" s="11"/>
      <c r="B25" s="11"/>
      <c r="E25" s="1"/>
      <c r="L25" s="1"/>
    </row>
    <row r="26" spans="1:12" x14ac:dyDescent="0.2">
      <c r="A26" s="11" t="s">
        <v>55</v>
      </c>
      <c r="E26" s="1"/>
      <c r="G26" s="5" t="s">
        <v>56</v>
      </c>
    </row>
    <row r="27" spans="1:12" x14ac:dyDescent="0.2">
      <c r="A27" t="s">
        <v>84</v>
      </c>
      <c r="E27" s="1"/>
      <c r="G27" s="30">
        <v>0</v>
      </c>
      <c r="I27" t="s">
        <v>85</v>
      </c>
      <c r="L27" s="31">
        <f>G27/$G$9</f>
        <v>0</v>
      </c>
    </row>
    <row r="28" spans="1:12" x14ac:dyDescent="0.2">
      <c r="A28" t="s">
        <v>86</v>
      </c>
      <c r="D28" s="34"/>
      <c r="E28" s="35"/>
      <c r="G28" s="30">
        <v>0</v>
      </c>
      <c r="I28" t="s">
        <v>85</v>
      </c>
      <c r="L28" s="31">
        <f>G28/$G$9</f>
        <v>0</v>
      </c>
    </row>
    <row r="29" spans="1:12" x14ac:dyDescent="0.2">
      <c r="A29" t="s">
        <v>87</v>
      </c>
      <c r="E29" s="36" t="s">
        <v>88</v>
      </c>
    </row>
    <row r="30" spans="1:12" x14ac:dyDescent="0.2">
      <c r="D30" t="s">
        <v>173</v>
      </c>
      <c r="E30" s="19">
        <v>1</v>
      </c>
      <c r="G30" s="30">
        <v>1.5</v>
      </c>
      <c r="I30" t="s">
        <v>89</v>
      </c>
      <c r="L30" s="31">
        <f>SUM(E30*G30)</f>
        <v>1.5</v>
      </c>
    </row>
    <row r="31" spans="1:12" x14ac:dyDescent="0.2">
      <c r="A31" t="s">
        <v>50</v>
      </c>
      <c r="D31" s="37" t="s">
        <v>90</v>
      </c>
      <c r="E31" s="37" t="s">
        <v>91</v>
      </c>
      <c r="G31" s="38"/>
      <c r="H31" s="10"/>
      <c r="I31" s="10"/>
      <c r="J31" s="10"/>
      <c r="K31" s="10"/>
      <c r="L31" s="39"/>
    </row>
    <row r="32" spans="1:12" x14ac:dyDescent="0.2">
      <c r="B32" t="s">
        <v>92</v>
      </c>
      <c r="D32" s="19">
        <v>0</v>
      </c>
      <c r="E32" s="19">
        <v>0</v>
      </c>
      <c r="G32" s="40">
        <f>SUM(D32+E32)*G9</f>
        <v>0</v>
      </c>
      <c r="I32" t="s">
        <v>85</v>
      </c>
      <c r="L32" s="41">
        <f>SUM(G32/G9)</f>
        <v>0</v>
      </c>
    </row>
    <row r="33" spans="1:12" x14ac:dyDescent="0.2">
      <c r="A33" t="s">
        <v>93</v>
      </c>
      <c r="E33" s="1"/>
      <c r="G33" s="30">
        <v>0</v>
      </c>
      <c r="I33" t="s">
        <v>85</v>
      </c>
      <c r="L33" s="31">
        <f>G33/$G$9</f>
        <v>0</v>
      </c>
    </row>
    <row r="34" spans="1:12" x14ac:dyDescent="0.2">
      <c r="A34" t="s">
        <v>94</v>
      </c>
      <c r="E34" s="1"/>
      <c r="G34" s="30">
        <v>0</v>
      </c>
      <c r="I34" t="s">
        <v>85</v>
      </c>
      <c r="L34" s="31">
        <f>G34/$G$9</f>
        <v>0</v>
      </c>
    </row>
    <row r="35" spans="1:12" x14ac:dyDescent="0.2">
      <c r="A35" t="s">
        <v>95</v>
      </c>
      <c r="E35" s="1"/>
      <c r="G35" s="30">
        <v>0</v>
      </c>
      <c r="I35" t="s">
        <v>85</v>
      </c>
      <c r="L35" s="31">
        <f>G35/$G$9</f>
        <v>0</v>
      </c>
    </row>
    <row r="36" spans="1:12" x14ac:dyDescent="0.2">
      <c r="A36" t="s">
        <v>96</v>
      </c>
      <c r="E36" s="1"/>
      <c r="G36" s="30">
        <v>0</v>
      </c>
      <c r="I36" t="s">
        <v>85</v>
      </c>
      <c r="L36" s="31">
        <f>G36/$G$9</f>
        <v>0</v>
      </c>
    </row>
    <row r="37" spans="1:12" x14ac:dyDescent="0.2">
      <c r="A37" t="s">
        <v>97</v>
      </c>
      <c r="E37" s="37" t="s">
        <v>98</v>
      </c>
    </row>
    <row r="38" spans="1:12" x14ac:dyDescent="0.2">
      <c r="E38" s="19">
        <v>1</v>
      </c>
      <c r="G38" s="42">
        <v>0</v>
      </c>
      <c r="I38" t="s">
        <v>85</v>
      </c>
      <c r="L38" s="40">
        <f>SUM(G38/E38)/G9</f>
        <v>0</v>
      </c>
    </row>
    <row r="39" spans="1:12" x14ac:dyDescent="0.2">
      <c r="A39" s="13" t="s">
        <v>47</v>
      </c>
      <c r="B39" s="21"/>
      <c r="E39" s="1"/>
      <c r="G39" s="30">
        <v>0</v>
      </c>
      <c r="I39" t="s">
        <v>85</v>
      </c>
      <c r="L39" s="31">
        <f>G39/$G$9</f>
        <v>0</v>
      </c>
    </row>
    <row r="40" spans="1:12" x14ac:dyDescent="0.2">
      <c r="A40" s="13" t="s">
        <v>48</v>
      </c>
      <c r="B40" s="21"/>
      <c r="E40" s="1"/>
      <c r="G40" s="30">
        <v>0</v>
      </c>
      <c r="I40" t="s">
        <v>85</v>
      </c>
      <c r="L40" s="31">
        <f>G40/$G$9</f>
        <v>0</v>
      </c>
    </row>
    <row r="41" spans="1:12" x14ac:dyDescent="0.2">
      <c r="A41" s="13" t="s">
        <v>49</v>
      </c>
      <c r="B41" s="21"/>
      <c r="E41" s="1"/>
      <c r="G41" s="30">
        <v>0</v>
      </c>
      <c r="I41" t="s">
        <v>85</v>
      </c>
      <c r="L41" s="31">
        <f>G41/$G$9</f>
        <v>0</v>
      </c>
    </row>
    <row r="42" spans="1:12" x14ac:dyDescent="0.2">
      <c r="E42" s="1"/>
      <c r="G42" s="1"/>
      <c r="I42" s="5" t="s">
        <v>83</v>
      </c>
      <c r="L42" s="33">
        <f>SUM(L27:L41)</f>
        <v>1.5</v>
      </c>
    </row>
    <row r="43" spans="1:12" x14ac:dyDescent="0.2">
      <c r="E43" s="1"/>
      <c r="L43" s="43"/>
    </row>
    <row r="44" spans="1:12" x14ac:dyDescent="0.2">
      <c r="E44" s="1"/>
      <c r="G44" s="1"/>
      <c r="J44" s="5" t="s">
        <v>43</v>
      </c>
      <c r="L44" s="33">
        <f>L24+L42</f>
        <v>1.5</v>
      </c>
    </row>
    <row r="45" spans="1:12" x14ac:dyDescent="0.2">
      <c r="E45" s="1"/>
    </row>
    <row r="46" spans="1:12" x14ac:dyDescent="0.2">
      <c r="E46" s="1"/>
    </row>
    <row r="47" spans="1:12" x14ac:dyDescent="0.2">
      <c r="A47" s="44" t="s">
        <v>14</v>
      </c>
      <c r="B47" s="8" t="s">
        <v>16</v>
      </c>
      <c r="C47" s="4"/>
      <c r="E47" s="1"/>
      <c r="G47" s="45">
        <v>0.35</v>
      </c>
    </row>
    <row r="48" spans="1:12" x14ac:dyDescent="0.2">
      <c r="E48" s="1"/>
    </row>
    <row r="49" spans="1:13" x14ac:dyDescent="0.2">
      <c r="A49" s="8" t="s">
        <v>157</v>
      </c>
      <c r="B49" s="8" t="s">
        <v>101</v>
      </c>
      <c r="C49" s="8"/>
      <c r="D49" s="8"/>
      <c r="E49" s="24"/>
      <c r="F49" s="11"/>
      <c r="G49" s="11"/>
    </row>
    <row r="50" spans="1:13" x14ac:dyDescent="0.2">
      <c r="E50" s="1"/>
      <c r="K50" s="11" t="s">
        <v>39</v>
      </c>
      <c r="L50" s="33">
        <f>' Fixed Expenses'!L66</f>
        <v>10.633512432837685</v>
      </c>
    </row>
    <row r="51" spans="1:13" x14ac:dyDescent="0.2">
      <c r="E51" s="1"/>
    </row>
    <row r="52" spans="1:13" x14ac:dyDescent="0.2">
      <c r="C52" s="5" t="s">
        <v>42</v>
      </c>
      <c r="D52" s="33">
        <f>SUM(L50*H53)</f>
        <v>0.42992637868615974</v>
      </c>
      <c r="E52" s="1"/>
      <c r="K52" s="5" t="s">
        <v>102</v>
      </c>
      <c r="L52" s="33">
        <f>D54</f>
        <v>1.9299263786861598</v>
      </c>
    </row>
    <row r="53" spans="1:13" x14ac:dyDescent="0.2">
      <c r="C53" s="5" t="s">
        <v>43</v>
      </c>
      <c r="D53" s="33">
        <f>L44</f>
        <v>1.5</v>
      </c>
      <c r="E53" s="8" t="s">
        <v>103</v>
      </c>
      <c r="H53" s="46">
        <f>SUM(G8/' Fixed Expenses'!L3)</f>
        <v>4.0431266846361183E-2</v>
      </c>
      <c r="K53" s="5" t="s">
        <v>104</v>
      </c>
      <c r="L53" s="33">
        <f>L52*G47</f>
        <v>0.67547423254015593</v>
      </c>
    </row>
    <row r="54" spans="1:13" x14ac:dyDescent="0.2">
      <c r="C54" s="5" t="s">
        <v>102</v>
      </c>
      <c r="D54" s="33">
        <f>D52+D53</f>
        <v>1.9299263786861598</v>
      </c>
      <c r="E54" s="1"/>
      <c r="K54" s="5" t="s">
        <v>105</v>
      </c>
      <c r="L54" s="33">
        <f>L52+L53</f>
        <v>2.6054006112263157</v>
      </c>
    </row>
    <row r="55" spans="1:13" x14ac:dyDescent="0.2">
      <c r="E55" s="1"/>
    </row>
    <row r="56" spans="1:13" x14ac:dyDescent="0.2">
      <c r="E56" s="1"/>
    </row>
    <row r="57" spans="1:13" x14ac:dyDescent="0.2">
      <c r="A57" s="8" t="s">
        <v>163</v>
      </c>
      <c r="B57" s="8" t="s">
        <v>15</v>
      </c>
      <c r="C57" s="8"/>
      <c r="D57" s="8"/>
      <c r="L57" s="10"/>
      <c r="M57" s="10"/>
    </row>
    <row r="58" spans="1:13" x14ac:dyDescent="0.2">
      <c r="L58" s="81"/>
      <c r="M58" s="10"/>
    </row>
    <row r="59" spans="1:13" x14ac:dyDescent="0.2">
      <c r="J59" s="76"/>
      <c r="K59" s="5" t="s">
        <v>17</v>
      </c>
      <c r="L59" s="52">
        <f>L52</f>
        <v>1.9299263786861598</v>
      </c>
      <c r="M59" s="10"/>
    </row>
    <row r="60" spans="1:13" x14ac:dyDescent="0.2">
      <c r="E60" s="11"/>
      <c r="F60" s="5" t="s">
        <v>111</v>
      </c>
      <c r="G60" s="80">
        <v>0</v>
      </c>
      <c r="H60" s="91" t="s">
        <v>35</v>
      </c>
      <c r="M60" s="10"/>
    </row>
    <row r="61" spans="1:13" x14ac:dyDescent="0.2">
      <c r="F61" s="5" t="s">
        <v>110</v>
      </c>
      <c r="G61" s="67">
        <f>SUM(G60/G9)</f>
        <v>0</v>
      </c>
      <c r="M61" s="10"/>
    </row>
    <row r="62" spans="1:13" x14ac:dyDescent="0.2">
      <c r="F62" s="5" t="s">
        <v>162</v>
      </c>
      <c r="G62" s="79">
        <f>SUM(L62/L59)</f>
        <v>-1</v>
      </c>
      <c r="J62" s="76"/>
      <c r="K62" s="5" t="s">
        <v>18</v>
      </c>
      <c r="L62" s="52">
        <f>SUM(G61-L59)</f>
        <v>-1.9299263786861598</v>
      </c>
    </row>
    <row r="63" spans="1:13" x14ac:dyDescent="0.2">
      <c r="L63" s="10"/>
    </row>
    <row r="64" spans="1:13" x14ac:dyDescent="0.2">
      <c r="A64" s="8" t="s">
        <v>164</v>
      </c>
      <c r="B64" s="8" t="s">
        <v>158</v>
      </c>
      <c r="C64" s="8"/>
      <c r="D64" s="8"/>
      <c r="L64" s="10"/>
    </row>
    <row r="65" spans="6:12" x14ac:dyDescent="0.2">
      <c r="L65" s="10"/>
    </row>
    <row r="66" spans="6:12" x14ac:dyDescent="0.2">
      <c r="F66" s="5" t="s">
        <v>18</v>
      </c>
      <c r="G66" s="77">
        <f>L62</f>
        <v>-1.9299263786861598</v>
      </c>
      <c r="L66" s="10"/>
    </row>
    <row r="67" spans="6:12" x14ac:dyDescent="0.2">
      <c r="F67" s="5" t="s">
        <v>159</v>
      </c>
      <c r="G67" s="74">
        <f>G8</f>
        <v>15</v>
      </c>
      <c r="L67" s="10"/>
    </row>
    <row r="68" spans="6:12" x14ac:dyDescent="0.2">
      <c r="L68" s="10"/>
    </row>
    <row r="69" spans="6:12" x14ac:dyDescent="0.2">
      <c r="F69" s="5" t="s">
        <v>160</v>
      </c>
      <c r="G69" s="78">
        <f>SUM(G67*G66)</f>
        <v>-28.948895680292395</v>
      </c>
    </row>
  </sheetData>
  <phoneticPr fontId="0" type="noConversion"/>
  <pageMargins left="0.75" right="0.75" top="1" bottom="1" header="0.5" footer="0.5"/>
  <pageSetup orientation="landscape" horizontalDpi="360" verticalDpi="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2566F-90D4-4E48-8FA3-F47E8EAEE0F3}">
  <sheetPr codeName="Sheet14"/>
  <dimension ref="A2:Q69"/>
  <sheetViews>
    <sheetView workbookViewId="0"/>
  </sheetViews>
  <sheetFormatPr defaultColWidth="8.85546875" defaultRowHeight="12.75" x14ac:dyDescent="0.2"/>
  <cols>
    <col min="1" max="1" width="8.85546875" customWidth="1"/>
    <col min="2" max="2" width="9.7109375" customWidth="1"/>
    <col min="3" max="5" width="8.85546875" customWidth="1"/>
    <col min="6" max="6" width="10.42578125" customWidth="1"/>
    <col min="7" max="7" width="10.28515625" bestFit="1" customWidth="1"/>
    <col min="8" max="10" width="8.85546875" customWidth="1"/>
    <col min="11" max="11" width="16.140625" customWidth="1"/>
    <col min="12" max="12" width="11.42578125" customWidth="1"/>
  </cols>
  <sheetData>
    <row r="2" spans="1:17" x14ac:dyDescent="0.2">
      <c r="A2" s="11" t="s">
        <v>9</v>
      </c>
      <c r="B2" s="11"/>
      <c r="C2" s="3" t="str">
        <f>'Total Course Profit'!B18</f>
        <v>Dry Suit</v>
      </c>
      <c r="D2" s="3"/>
    </row>
    <row r="3" spans="1:17" x14ac:dyDescent="0.2">
      <c r="B3" s="86"/>
      <c r="C3" s="10"/>
      <c r="D3" s="10"/>
      <c r="E3" s="1"/>
      <c r="I3" s="5"/>
      <c r="J3" s="23"/>
      <c r="N3" s="49"/>
      <c r="O3" s="49"/>
      <c r="P3" s="10"/>
      <c r="Q3" s="10"/>
    </row>
    <row r="4" spans="1:17" x14ac:dyDescent="0.2">
      <c r="E4" s="1"/>
      <c r="I4" s="5"/>
      <c r="J4" s="23"/>
    </row>
    <row r="5" spans="1:17" x14ac:dyDescent="0.2">
      <c r="A5" s="8" t="s">
        <v>99</v>
      </c>
      <c r="B5" s="8" t="s">
        <v>70</v>
      </c>
      <c r="C5" s="8"/>
      <c r="D5" s="8"/>
      <c r="E5" s="24"/>
      <c r="I5" s="5"/>
      <c r="J5" s="23"/>
    </row>
    <row r="6" spans="1:17" x14ac:dyDescent="0.2">
      <c r="A6" s="8"/>
      <c r="B6" s="8"/>
      <c r="C6" s="8"/>
      <c r="D6" s="8"/>
      <c r="E6" s="24"/>
      <c r="I6" s="5"/>
      <c r="J6" s="23"/>
    </row>
    <row r="7" spans="1:17" x14ac:dyDescent="0.2">
      <c r="A7" s="25" t="s">
        <v>106</v>
      </c>
      <c r="B7" s="4"/>
      <c r="C7" s="4"/>
      <c r="E7" s="24"/>
      <c r="G7" s="26" t="s">
        <v>190</v>
      </c>
      <c r="I7" s="5"/>
      <c r="J7" s="23"/>
      <c r="K7" s="5" t="s">
        <v>52</v>
      </c>
      <c r="L7" s="3">
        <f>'Data Entry'!G21</f>
        <v>371</v>
      </c>
    </row>
    <row r="8" spans="1:17" x14ac:dyDescent="0.2">
      <c r="A8" s="27" t="s">
        <v>71</v>
      </c>
      <c r="B8" s="25"/>
      <c r="C8" s="25"/>
      <c r="E8" s="24"/>
      <c r="G8" s="50">
        <v>15</v>
      </c>
      <c r="I8" s="5"/>
      <c r="J8" s="23"/>
    </row>
    <row r="9" spans="1:17" x14ac:dyDescent="0.2">
      <c r="A9" s="27" t="s">
        <v>72</v>
      </c>
      <c r="B9" s="25"/>
      <c r="C9" s="25"/>
      <c r="E9" s="1"/>
      <c r="G9" s="28">
        <v>3</v>
      </c>
      <c r="K9" s="5"/>
      <c r="L9" s="23"/>
    </row>
    <row r="10" spans="1:17" x14ac:dyDescent="0.2">
      <c r="A10" s="27"/>
      <c r="B10" s="25"/>
      <c r="C10" s="25"/>
      <c r="D10" s="29"/>
      <c r="E10" s="1"/>
      <c r="K10" s="5"/>
      <c r="L10" s="23"/>
    </row>
    <row r="11" spans="1:17" x14ac:dyDescent="0.2">
      <c r="A11" s="8" t="s">
        <v>100</v>
      </c>
      <c r="B11" s="8" t="s">
        <v>74</v>
      </c>
      <c r="C11" s="4"/>
      <c r="D11" s="4"/>
      <c r="E11" s="9"/>
    </row>
    <row r="12" spans="1:17" x14ac:dyDescent="0.2">
      <c r="A12" s="11"/>
      <c r="B12" s="11"/>
      <c r="E12" s="1"/>
    </row>
    <row r="13" spans="1:17" x14ac:dyDescent="0.2">
      <c r="A13" s="11" t="s">
        <v>55</v>
      </c>
      <c r="E13" s="1"/>
      <c r="G13" s="5" t="s">
        <v>56</v>
      </c>
    </row>
    <row r="14" spans="1:17" x14ac:dyDescent="0.2">
      <c r="A14" t="s">
        <v>75</v>
      </c>
      <c r="E14" s="1"/>
      <c r="G14" s="30">
        <v>15</v>
      </c>
      <c r="I14" t="s">
        <v>76</v>
      </c>
      <c r="L14" s="31">
        <f t="shared" ref="L14:L23" si="0">G14</f>
        <v>15</v>
      </c>
    </row>
    <row r="15" spans="1:17" x14ac:dyDescent="0.2">
      <c r="A15" t="s">
        <v>77</v>
      </c>
      <c r="E15" s="1"/>
      <c r="G15" s="30">
        <v>0</v>
      </c>
      <c r="I15" t="s">
        <v>76</v>
      </c>
      <c r="L15" s="31">
        <f t="shared" si="0"/>
        <v>0</v>
      </c>
    </row>
    <row r="16" spans="1:17" x14ac:dyDescent="0.2">
      <c r="A16" t="s">
        <v>78</v>
      </c>
      <c r="E16" s="1"/>
      <c r="G16" s="32">
        <v>0</v>
      </c>
      <c r="I16" t="s">
        <v>76</v>
      </c>
      <c r="L16" s="31">
        <f t="shared" si="0"/>
        <v>0</v>
      </c>
    </row>
    <row r="17" spans="1:12" x14ac:dyDescent="0.2">
      <c r="A17" t="s">
        <v>79</v>
      </c>
      <c r="E17" s="1"/>
      <c r="G17" s="30">
        <v>10</v>
      </c>
      <c r="I17" t="s">
        <v>76</v>
      </c>
      <c r="L17" s="31">
        <f t="shared" si="0"/>
        <v>10</v>
      </c>
    </row>
    <row r="18" spans="1:12" x14ac:dyDescent="0.2">
      <c r="A18" t="s">
        <v>80</v>
      </c>
      <c r="E18" s="1"/>
      <c r="G18" s="30">
        <v>0</v>
      </c>
      <c r="I18" t="s">
        <v>76</v>
      </c>
      <c r="L18" s="31">
        <f t="shared" si="0"/>
        <v>0</v>
      </c>
    </row>
    <row r="19" spans="1:12" x14ac:dyDescent="0.2">
      <c r="A19" t="s">
        <v>81</v>
      </c>
      <c r="E19" s="1"/>
      <c r="G19" s="30">
        <v>0</v>
      </c>
      <c r="I19" t="s">
        <v>76</v>
      </c>
      <c r="L19" s="31">
        <f t="shared" si="0"/>
        <v>0</v>
      </c>
    </row>
    <row r="20" spans="1:12" x14ac:dyDescent="0.2">
      <c r="A20" t="s">
        <v>82</v>
      </c>
      <c r="E20" s="1"/>
      <c r="G20" s="30">
        <v>0</v>
      </c>
      <c r="I20" t="s">
        <v>76</v>
      </c>
      <c r="L20" s="31">
        <f t="shared" si="0"/>
        <v>0</v>
      </c>
    </row>
    <row r="21" spans="1:12" x14ac:dyDescent="0.2">
      <c r="A21" s="13" t="s">
        <v>60</v>
      </c>
      <c r="E21" s="1"/>
      <c r="G21" s="30">
        <v>0</v>
      </c>
      <c r="I21" t="s">
        <v>76</v>
      </c>
      <c r="L21" s="31">
        <f t="shared" si="0"/>
        <v>0</v>
      </c>
    </row>
    <row r="22" spans="1:12" x14ac:dyDescent="0.2">
      <c r="A22" s="13" t="s">
        <v>60</v>
      </c>
      <c r="E22" s="1"/>
      <c r="G22" s="30">
        <v>0</v>
      </c>
      <c r="I22" t="s">
        <v>76</v>
      </c>
      <c r="L22" s="31">
        <f t="shared" si="0"/>
        <v>0</v>
      </c>
    </row>
    <row r="23" spans="1:12" x14ac:dyDescent="0.2">
      <c r="A23" s="13" t="s">
        <v>60</v>
      </c>
      <c r="E23" s="1"/>
      <c r="G23" s="30">
        <v>0</v>
      </c>
      <c r="I23" t="s">
        <v>76</v>
      </c>
      <c r="L23" s="31">
        <f t="shared" si="0"/>
        <v>0</v>
      </c>
    </row>
    <row r="24" spans="1:12" x14ac:dyDescent="0.2">
      <c r="E24" s="1"/>
      <c r="G24" s="1"/>
      <c r="K24" s="5" t="s">
        <v>83</v>
      </c>
      <c r="L24" s="33">
        <f>SUM(L14:L23)</f>
        <v>25</v>
      </c>
    </row>
    <row r="25" spans="1:12" x14ac:dyDescent="0.2">
      <c r="A25" s="11"/>
      <c r="B25" s="11"/>
      <c r="E25" s="1"/>
      <c r="L25" s="1"/>
    </row>
    <row r="26" spans="1:12" x14ac:dyDescent="0.2">
      <c r="A26" s="11" t="s">
        <v>55</v>
      </c>
      <c r="E26" s="1"/>
      <c r="G26" s="5" t="s">
        <v>56</v>
      </c>
    </row>
    <row r="27" spans="1:12" x14ac:dyDescent="0.2">
      <c r="A27" t="s">
        <v>84</v>
      </c>
      <c r="E27" s="1"/>
      <c r="G27" s="30">
        <v>0</v>
      </c>
      <c r="I27" t="s">
        <v>85</v>
      </c>
      <c r="L27" s="31">
        <f>G27/$G$9</f>
        <v>0</v>
      </c>
    </row>
    <row r="28" spans="1:12" x14ac:dyDescent="0.2">
      <c r="A28" t="s">
        <v>86</v>
      </c>
      <c r="D28" s="34"/>
      <c r="E28" s="35"/>
      <c r="G28" s="30">
        <v>0</v>
      </c>
      <c r="I28" t="s">
        <v>85</v>
      </c>
      <c r="L28" s="31">
        <f>G28/$G$9</f>
        <v>0</v>
      </c>
    </row>
    <row r="29" spans="1:12" x14ac:dyDescent="0.2">
      <c r="A29" t="s">
        <v>87</v>
      </c>
      <c r="E29" s="36" t="s">
        <v>88</v>
      </c>
    </row>
    <row r="30" spans="1:12" x14ac:dyDescent="0.2">
      <c r="E30" s="19">
        <v>2</v>
      </c>
      <c r="G30" s="30">
        <v>1</v>
      </c>
      <c r="I30" t="s">
        <v>89</v>
      </c>
      <c r="L30" s="31">
        <f>SUM(E30*G30)</f>
        <v>2</v>
      </c>
    </row>
    <row r="31" spans="1:12" x14ac:dyDescent="0.2">
      <c r="A31" t="s">
        <v>50</v>
      </c>
      <c r="D31" s="37" t="s">
        <v>90</v>
      </c>
      <c r="E31" s="37" t="s">
        <v>91</v>
      </c>
      <c r="G31" s="38"/>
      <c r="H31" s="10"/>
      <c r="I31" s="10"/>
      <c r="J31" s="10"/>
      <c r="K31" s="10"/>
      <c r="L31" s="39"/>
    </row>
    <row r="32" spans="1:12" x14ac:dyDescent="0.2">
      <c r="B32" t="s">
        <v>92</v>
      </c>
      <c r="D32" s="19">
        <v>0</v>
      </c>
      <c r="E32" s="19">
        <v>30</v>
      </c>
      <c r="G32" s="40">
        <f>SUM(D32+E32)*G9</f>
        <v>90</v>
      </c>
      <c r="I32" t="s">
        <v>85</v>
      </c>
      <c r="L32" s="41">
        <f>SUM(G32/G9)</f>
        <v>30</v>
      </c>
    </row>
    <row r="33" spans="1:12" x14ac:dyDescent="0.2">
      <c r="A33" t="s">
        <v>93</v>
      </c>
      <c r="E33" s="1"/>
      <c r="G33" s="30">
        <v>0</v>
      </c>
      <c r="I33" t="s">
        <v>85</v>
      </c>
      <c r="L33" s="31">
        <f>G33/$G$9</f>
        <v>0</v>
      </c>
    </row>
    <row r="34" spans="1:12" x14ac:dyDescent="0.2">
      <c r="A34" t="s">
        <v>94</v>
      </c>
      <c r="E34" s="1"/>
      <c r="G34" s="30">
        <v>0</v>
      </c>
      <c r="I34" t="s">
        <v>85</v>
      </c>
      <c r="L34" s="31">
        <f>G34/$G$9</f>
        <v>0</v>
      </c>
    </row>
    <row r="35" spans="1:12" x14ac:dyDescent="0.2">
      <c r="A35" t="s">
        <v>95</v>
      </c>
      <c r="E35" s="1"/>
      <c r="G35" s="30">
        <v>0</v>
      </c>
      <c r="I35" t="s">
        <v>85</v>
      </c>
      <c r="L35" s="31">
        <f>G35/$G$9</f>
        <v>0</v>
      </c>
    </row>
    <row r="36" spans="1:12" x14ac:dyDescent="0.2">
      <c r="A36" t="s">
        <v>96</v>
      </c>
      <c r="E36" s="1"/>
      <c r="G36" s="30">
        <v>25</v>
      </c>
      <c r="I36" t="s">
        <v>85</v>
      </c>
      <c r="L36" s="31">
        <f>G36/$G$9</f>
        <v>8.3333333333333339</v>
      </c>
    </row>
    <row r="37" spans="1:12" x14ac:dyDescent="0.2">
      <c r="A37" t="s">
        <v>97</v>
      </c>
      <c r="E37" s="37" t="s">
        <v>98</v>
      </c>
    </row>
    <row r="38" spans="1:12" x14ac:dyDescent="0.2">
      <c r="E38" s="19">
        <v>4</v>
      </c>
      <c r="G38" s="42">
        <v>250</v>
      </c>
      <c r="I38" t="s">
        <v>85</v>
      </c>
      <c r="L38" s="40">
        <f>SUM(G38/E38)/G9</f>
        <v>20.833333333333332</v>
      </c>
    </row>
    <row r="39" spans="1:12" x14ac:dyDescent="0.2">
      <c r="A39" s="13" t="s">
        <v>60</v>
      </c>
      <c r="E39" s="1"/>
      <c r="G39" s="30">
        <v>0</v>
      </c>
      <c r="I39" t="s">
        <v>85</v>
      </c>
      <c r="L39" s="31">
        <f>G39/$G$9</f>
        <v>0</v>
      </c>
    </row>
    <row r="40" spans="1:12" x14ac:dyDescent="0.2">
      <c r="A40" s="13" t="s">
        <v>60</v>
      </c>
      <c r="E40" s="1"/>
      <c r="G40" s="30">
        <v>0</v>
      </c>
      <c r="I40" t="s">
        <v>85</v>
      </c>
      <c r="L40" s="31">
        <f>G40/$G$9</f>
        <v>0</v>
      </c>
    </row>
    <row r="41" spans="1:12" x14ac:dyDescent="0.2">
      <c r="A41" s="13" t="s">
        <v>60</v>
      </c>
      <c r="E41" s="1"/>
      <c r="G41" s="30">
        <v>0</v>
      </c>
      <c r="I41" t="s">
        <v>85</v>
      </c>
      <c r="L41" s="31">
        <f>G41/$G$9</f>
        <v>0</v>
      </c>
    </row>
    <row r="42" spans="1:12" x14ac:dyDescent="0.2">
      <c r="E42" s="1"/>
      <c r="G42" s="1"/>
      <c r="I42" s="5" t="s">
        <v>83</v>
      </c>
      <c r="L42" s="33">
        <f>SUM(L27:L41)</f>
        <v>61.166666666666671</v>
      </c>
    </row>
    <row r="43" spans="1:12" x14ac:dyDescent="0.2">
      <c r="E43" s="1"/>
      <c r="L43" s="43"/>
    </row>
    <row r="44" spans="1:12" x14ac:dyDescent="0.2">
      <c r="E44" s="1"/>
      <c r="G44" s="1"/>
      <c r="J44" s="5" t="s">
        <v>43</v>
      </c>
      <c r="L44" s="33">
        <f>L24+L42</f>
        <v>86.166666666666671</v>
      </c>
    </row>
    <row r="45" spans="1:12" x14ac:dyDescent="0.2">
      <c r="E45" s="1"/>
    </row>
    <row r="46" spans="1:12" x14ac:dyDescent="0.2">
      <c r="E46" s="1"/>
    </row>
    <row r="47" spans="1:12" x14ac:dyDescent="0.2">
      <c r="A47" s="44" t="s">
        <v>14</v>
      </c>
      <c r="B47" s="8" t="s">
        <v>16</v>
      </c>
      <c r="C47" s="4"/>
      <c r="E47" s="1"/>
      <c r="G47" s="45">
        <v>0.5</v>
      </c>
    </row>
    <row r="48" spans="1:12" x14ac:dyDescent="0.2">
      <c r="E48" s="1"/>
    </row>
    <row r="49" spans="1:13" x14ac:dyDescent="0.2">
      <c r="A49" s="8" t="s">
        <v>157</v>
      </c>
      <c r="B49" s="8" t="s">
        <v>101</v>
      </c>
      <c r="C49" s="8"/>
      <c r="D49" s="8"/>
      <c r="E49" s="24"/>
      <c r="F49" s="11"/>
      <c r="G49" s="11"/>
    </row>
    <row r="50" spans="1:13" x14ac:dyDescent="0.2">
      <c r="E50" s="1"/>
      <c r="K50" s="11" t="s">
        <v>39</v>
      </c>
      <c r="L50" s="33">
        <f>' Fixed Expenses'!L66</f>
        <v>10.633512432837685</v>
      </c>
    </row>
    <row r="51" spans="1:13" x14ac:dyDescent="0.2">
      <c r="E51" s="1"/>
    </row>
    <row r="52" spans="1:13" x14ac:dyDescent="0.2">
      <c r="C52" s="5" t="s">
        <v>42</v>
      </c>
      <c r="D52" s="33">
        <f>SUM(L50*H53)</f>
        <v>0.42992637868615974</v>
      </c>
      <c r="E52" s="1"/>
      <c r="K52" s="5" t="s">
        <v>102</v>
      </c>
      <c r="L52" s="33">
        <f>D54</f>
        <v>86.596593045352833</v>
      </c>
    </row>
    <row r="53" spans="1:13" x14ac:dyDescent="0.2">
      <c r="C53" s="5" t="s">
        <v>43</v>
      </c>
      <c r="D53" s="33">
        <f>L44</f>
        <v>86.166666666666671</v>
      </c>
      <c r="E53" s="8" t="s">
        <v>103</v>
      </c>
      <c r="H53" s="46">
        <f>SUM(G8/' Fixed Expenses'!L3)</f>
        <v>4.0431266846361183E-2</v>
      </c>
      <c r="K53" s="5" t="s">
        <v>104</v>
      </c>
      <c r="L53" s="33">
        <f>L52*G47</f>
        <v>43.298296522676416</v>
      </c>
    </row>
    <row r="54" spans="1:13" x14ac:dyDescent="0.2">
      <c r="C54" s="5" t="s">
        <v>102</v>
      </c>
      <c r="D54" s="33">
        <f>D52+D53</f>
        <v>86.596593045352833</v>
      </c>
      <c r="E54" s="1"/>
      <c r="K54" s="5" t="s">
        <v>105</v>
      </c>
      <c r="L54" s="33">
        <f>L52+L53</f>
        <v>129.89488956802924</v>
      </c>
    </row>
    <row r="55" spans="1:13" x14ac:dyDescent="0.2">
      <c r="E55" s="1"/>
    </row>
    <row r="56" spans="1:13" x14ac:dyDescent="0.2">
      <c r="E56" s="1"/>
    </row>
    <row r="57" spans="1:13" x14ac:dyDescent="0.2">
      <c r="A57" s="8" t="s">
        <v>163</v>
      </c>
      <c r="B57" s="8" t="s">
        <v>15</v>
      </c>
      <c r="C57" s="8"/>
      <c r="D57" s="8"/>
      <c r="L57" s="10"/>
      <c r="M57" s="10"/>
    </row>
    <row r="58" spans="1:13" x14ac:dyDescent="0.2">
      <c r="L58" s="81"/>
      <c r="M58" s="10"/>
    </row>
    <row r="59" spans="1:13" x14ac:dyDescent="0.2">
      <c r="J59" s="76"/>
      <c r="K59" s="5" t="s">
        <v>17</v>
      </c>
      <c r="L59" s="52">
        <f>L52</f>
        <v>86.596593045352833</v>
      </c>
      <c r="M59" s="10"/>
    </row>
    <row r="60" spans="1:13" x14ac:dyDescent="0.2">
      <c r="M60" s="10"/>
    </row>
    <row r="61" spans="1:13" x14ac:dyDescent="0.2">
      <c r="F61" s="5" t="s">
        <v>165</v>
      </c>
      <c r="G61" s="80">
        <v>130</v>
      </c>
      <c r="H61" s="91" t="s">
        <v>35</v>
      </c>
      <c r="M61" s="10"/>
    </row>
    <row r="62" spans="1:13" x14ac:dyDescent="0.2">
      <c r="F62" s="5" t="s">
        <v>162</v>
      </c>
      <c r="G62" s="79">
        <f>SUM(L62/L59)</f>
        <v>0.50121379407981681</v>
      </c>
      <c r="J62" s="76"/>
      <c r="K62" s="5" t="s">
        <v>18</v>
      </c>
      <c r="L62" s="52">
        <f>SUM(G61-L59)</f>
        <v>43.403406954647167</v>
      </c>
    </row>
    <row r="63" spans="1:13" x14ac:dyDescent="0.2">
      <c r="L63" s="10"/>
    </row>
    <row r="64" spans="1:13" x14ac:dyDescent="0.2">
      <c r="A64" s="8" t="s">
        <v>164</v>
      </c>
      <c r="B64" s="8" t="s">
        <v>158</v>
      </c>
      <c r="C64" s="8"/>
      <c r="D64" s="8"/>
      <c r="L64" s="10"/>
    </row>
    <row r="65" spans="6:12" x14ac:dyDescent="0.2">
      <c r="L65" s="10"/>
    </row>
    <row r="66" spans="6:12" x14ac:dyDescent="0.2">
      <c r="F66" s="5" t="s">
        <v>18</v>
      </c>
      <c r="G66" s="77">
        <f>L62</f>
        <v>43.403406954647167</v>
      </c>
      <c r="L66" s="10"/>
    </row>
    <row r="67" spans="6:12" x14ac:dyDescent="0.2">
      <c r="F67" s="5" t="s">
        <v>159</v>
      </c>
      <c r="G67" s="74">
        <f>G8</f>
        <v>15</v>
      </c>
      <c r="L67" s="10"/>
    </row>
    <row r="68" spans="6:12" x14ac:dyDescent="0.2">
      <c r="L68" s="10"/>
    </row>
    <row r="69" spans="6:12" x14ac:dyDescent="0.2">
      <c r="F69" s="5" t="s">
        <v>160</v>
      </c>
      <c r="G69" s="78">
        <f>SUM(G67*G66)</f>
        <v>651.05110431970752</v>
      </c>
    </row>
  </sheetData>
  <phoneticPr fontId="0" type="noConversion"/>
  <pageMargins left="0.75" right="0.75" top="1" bottom="1" header="0.5" footer="0.5"/>
  <pageSetup orientation="landscape" horizontalDpi="360" verticalDpi="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DB83F-D31A-471C-817B-ED704FBEC25C}">
  <sheetPr codeName="Sheet15"/>
  <dimension ref="A2:M69"/>
  <sheetViews>
    <sheetView workbookViewId="0">
      <selection activeCell="M3" sqref="M3"/>
    </sheetView>
  </sheetViews>
  <sheetFormatPr defaultColWidth="8.85546875" defaultRowHeight="12.75" x14ac:dyDescent="0.2"/>
  <cols>
    <col min="1" max="1" width="8.85546875" customWidth="1"/>
    <col min="2" max="2" width="9.7109375" customWidth="1"/>
    <col min="3" max="5" width="8.85546875" customWidth="1"/>
    <col min="6" max="6" width="10.42578125" customWidth="1"/>
    <col min="7" max="7" width="10.28515625" bestFit="1" customWidth="1"/>
    <col min="8" max="10" width="8.85546875" customWidth="1"/>
    <col min="11" max="11" width="16.140625" customWidth="1"/>
    <col min="12" max="12" width="11.42578125" customWidth="1"/>
  </cols>
  <sheetData>
    <row r="2" spans="1:12" x14ac:dyDescent="0.2">
      <c r="A2" s="11" t="s">
        <v>9</v>
      </c>
      <c r="B2" s="11"/>
      <c r="C2" s="3" t="str">
        <f>'Total Course Profit'!B19</f>
        <v xml:space="preserve"> </v>
      </c>
      <c r="D2" s="3"/>
    </row>
    <row r="3" spans="1:12" x14ac:dyDescent="0.2">
      <c r="B3" s="86"/>
      <c r="C3" s="10"/>
      <c r="D3" s="10"/>
      <c r="E3" s="1"/>
      <c r="I3" s="5"/>
      <c r="J3" s="23"/>
    </row>
    <row r="4" spans="1:12" x14ac:dyDescent="0.2">
      <c r="E4" s="1"/>
      <c r="I4" s="5"/>
      <c r="J4" s="23"/>
    </row>
    <row r="5" spans="1:12" x14ac:dyDescent="0.2">
      <c r="A5" s="8" t="s">
        <v>99</v>
      </c>
      <c r="B5" s="8" t="s">
        <v>70</v>
      </c>
      <c r="C5" s="8"/>
      <c r="D5" s="8"/>
      <c r="E5" s="24"/>
      <c r="I5" s="5"/>
      <c r="J5" s="23"/>
    </row>
    <row r="6" spans="1:12" x14ac:dyDescent="0.2">
      <c r="A6" s="8"/>
      <c r="B6" s="8"/>
      <c r="C6" s="8"/>
      <c r="D6" s="8"/>
      <c r="E6" s="24"/>
      <c r="I6" s="5"/>
      <c r="J6" s="23"/>
    </row>
    <row r="7" spans="1:12" x14ac:dyDescent="0.2">
      <c r="A7" s="25" t="s">
        <v>106</v>
      </c>
      <c r="B7" s="4"/>
      <c r="C7" s="4"/>
      <c r="E7" s="24"/>
      <c r="G7" s="26" t="s">
        <v>10</v>
      </c>
      <c r="I7" s="5"/>
      <c r="J7" s="23"/>
      <c r="K7" s="5" t="s">
        <v>52</v>
      </c>
      <c r="L7" s="3">
        <f>'Data Entry'!G21</f>
        <v>371</v>
      </c>
    </row>
    <row r="8" spans="1:12" x14ac:dyDescent="0.2">
      <c r="A8" s="27" t="s">
        <v>71</v>
      </c>
      <c r="B8" s="25"/>
      <c r="C8" s="25"/>
      <c r="E8" s="24"/>
      <c r="G8" s="50">
        <v>1</v>
      </c>
      <c r="I8" s="5"/>
      <c r="J8" s="23"/>
    </row>
    <row r="9" spans="1:12" x14ac:dyDescent="0.2">
      <c r="A9" s="27" t="s">
        <v>72</v>
      </c>
      <c r="B9" s="25"/>
      <c r="C9" s="25"/>
      <c r="E9" s="1"/>
      <c r="G9" s="28">
        <v>1</v>
      </c>
      <c r="K9" s="5"/>
      <c r="L9" s="23"/>
    </row>
    <row r="10" spans="1:12" x14ac:dyDescent="0.2">
      <c r="A10" s="27"/>
      <c r="B10" s="25"/>
      <c r="C10" s="25"/>
      <c r="D10" s="29"/>
      <c r="E10" s="1"/>
      <c r="K10" s="5"/>
      <c r="L10" s="23"/>
    </row>
    <row r="11" spans="1:12" x14ac:dyDescent="0.2">
      <c r="A11" s="8" t="s">
        <v>100</v>
      </c>
      <c r="B11" s="8" t="s">
        <v>74</v>
      </c>
      <c r="C11" s="4"/>
      <c r="D11" s="4"/>
      <c r="E11" s="9"/>
    </row>
    <row r="12" spans="1:12" x14ac:dyDescent="0.2">
      <c r="A12" s="11"/>
      <c r="B12" s="11"/>
      <c r="E12" s="1"/>
    </row>
    <row r="13" spans="1:12" x14ac:dyDescent="0.2">
      <c r="A13" s="11" t="s">
        <v>55</v>
      </c>
      <c r="E13" s="1"/>
      <c r="G13" s="5" t="s">
        <v>56</v>
      </c>
    </row>
    <row r="14" spans="1:12" x14ac:dyDescent="0.2">
      <c r="A14" t="s">
        <v>75</v>
      </c>
      <c r="E14" s="1"/>
      <c r="G14" s="30">
        <v>0</v>
      </c>
      <c r="I14" t="s">
        <v>76</v>
      </c>
      <c r="L14" s="31">
        <f t="shared" ref="L14:L23" si="0">G14</f>
        <v>0</v>
      </c>
    </row>
    <row r="15" spans="1:12" x14ac:dyDescent="0.2">
      <c r="A15" t="s">
        <v>77</v>
      </c>
      <c r="E15" s="1"/>
      <c r="G15" s="30">
        <v>0</v>
      </c>
      <c r="I15" t="s">
        <v>76</v>
      </c>
      <c r="L15" s="31">
        <f t="shared" si="0"/>
        <v>0</v>
      </c>
    </row>
    <row r="16" spans="1:12" x14ac:dyDescent="0.2">
      <c r="A16" t="s">
        <v>78</v>
      </c>
      <c r="E16" s="1"/>
      <c r="G16" s="32">
        <v>0</v>
      </c>
      <c r="I16" t="s">
        <v>76</v>
      </c>
      <c r="L16" s="31">
        <f t="shared" si="0"/>
        <v>0</v>
      </c>
    </row>
    <row r="17" spans="1:12" x14ac:dyDescent="0.2">
      <c r="A17" t="s">
        <v>79</v>
      </c>
      <c r="E17" s="1"/>
      <c r="G17" s="30">
        <v>0</v>
      </c>
      <c r="I17" t="s">
        <v>76</v>
      </c>
      <c r="L17" s="31">
        <f t="shared" si="0"/>
        <v>0</v>
      </c>
    </row>
    <row r="18" spans="1:12" x14ac:dyDescent="0.2">
      <c r="A18" t="s">
        <v>80</v>
      </c>
      <c r="E18" s="1"/>
      <c r="G18" s="30">
        <v>0</v>
      </c>
      <c r="I18" t="s">
        <v>76</v>
      </c>
      <c r="L18" s="31">
        <f t="shared" si="0"/>
        <v>0</v>
      </c>
    </row>
    <row r="19" spans="1:12" x14ac:dyDescent="0.2">
      <c r="A19" t="s">
        <v>81</v>
      </c>
      <c r="E19" s="1"/>
      <c r="G19" s="30">
        <v>0</v>
      </c>
      <c r="I19" t="s">
        <v>76</v>
      </c>
      <c r="L19" s="31">
        <f t="shared" si="0"/>
        <v>0</v>
      </c>
    </row>
    <row r="20" spans="1:12" x14ac:dyDescent="0.2">
      <c r="A20" t="s">
        <v>82</v>
      </c>
      <c r="E20" s="1"/>
      <c r="G20" s="30">
        <v>0</v>
      </c>
      <c r="I20" t="s">
        <v>76</v>
      </c>
      <c r="L20" s="31">
        <f t="shared" si="0"/>
        <v>0</v>
      </c>
    </row>
    <row r="21" spans="1:12" x14ac:dyDescent="0.2">
      <c r="A21" s="13" t="s">
        <v>60</v>
      </c>
      <c r="E21" s="1"/>
      <c r="G21" s="30">
        <v>0</v>
      </c>
      <c r="I21" t="s">
        <v>76</v>
      </c>
      <c r="L21" s="31">
        <f t="shared" si="0"/>
        <v>0</v>
      </c>
    </row>
    <row r="22" spans="1:12" x14ac:dyDescent="0.2">
      <c r="A22" s="13" t="s">
        <v>60</v>
      </c>
      <c r="E22" s="1"/>
      <c r="G22" s="30">
        <v>0</v>
      </c>
      <c r="I22" t="s">
        <v>76</v>
      </c>
      <c r="L22" s="31">
        <f t="shared" si="0"/>
        <v>0</v>
      </c>
    </row>
    <row r="23" spans="1:12" x14ac:dyDescent="0.2">
      <c r="A23" s="13" t="s">
        <v>60</v>
      </c>
      <c r="E23" s="1"/>
      <c r="G23" s="30">
        <v>0</v>
      </c>
      <c r="I23" t="s">
        <v>76</v>
      </c>
      <c r="L23" s="31">
        <f t="shared" si="0"/>
        <v>0</v>
      </c>
    </row>
    <row r="24" spans="1:12" x14ac:dyDescent="0.2">
      <c r="E24" s="1"/>
      <c r="G24" s="1"/>
      <c r="K24" s="5" t="s">
        <v>83</v>
      </c>
      <c r="L24" s="33">
        <f>SUM(L14:L23)</f>
        <v>0</v>
      </c>
    </row>
    <row r="25" spans="1:12" x14ac:dyDescent="0.2">
      <c r="A25" s="11"/>
      <c r="B25" s="11"/>
      <c r="E25" s="1"/>
      <c r="L25" s="1"/>
    </row>
    <row r="26" spans="1:12" x14ac:dyDescent="0.2">
      <c r="A26" s="11" t="s">
        <v>55</v>
      </c>
      <c r="E26" s="1"/>
      <c r="G26" s="5" t="s">
        <v>56</v>
      </c>
    </row>
    <row r="27" spans="1:12" x14ac:dyDescent="0.2">
      <c r="A27" t="s">
        <v>84</v>
      </c>
      <c r="E27" s="1"/>
      <c r="G27" s="30">
        <v>0</v>
      </c>
      <c r="I27" t="s">
        <v>85</v>
      </c>
      <c r="L27" s="31">
        <f>G27/$G$9</f>
        <v>0</v>
      </c>
    </row>
    <row r="28" spans="1:12" x14ac:dyDescent="0.2">
      <c r="A28" t="s">
        <v>86</v>
      </c>
      <c r="D28" s="34"/>
      <c r="E28" s="35"/>
      <c r="G28" s="30">
        <v>0</v>
      </c>
      <c r="I28" t="s">
        <v>85</v>
      </c>
      <c r="L28" s="31">
        <f>G28/$G$9</f>
        <v>0</v>
      </c>
    </row>
    <row r="29" spans="1:12" x14ac:dyDescent="0.2">
      <c r="A29" t="s">
        <v>87</v>
      </c>
      <c r="E29" s="36" t="s">
        <v>88</v>
      </c>
    </row>
    <row r="30" spans="1:12" x14ac:dyDescent="0.2">
      <c r="E30" s="19">
        <v>0</v>
      </c>
      <c r="G30" s="30">
        <v>0</v>
      </c>
      <c r="I30" t="s">
        <v>89</v>
      </c>
      <c r="L30" s="31">
        <f>SUM(E30*G30)</f>
        <v>0</v>
      </c>
    </row>
    <row r="31" spans="1:12" x14ac:dyDescent="0.2">
      <c r="A31" t="s">
        <v>50</v>
      </c>
      <c r="D31" s="37" t="s">
        <v>90</v>
      </c>
      <c r="E31" s="37" t="s">
        <v>91</v>
      </c>
      <c r="G31" s="38"/>
      <c r="H31" s="10"/>
      <c r="I31" s="10"/>
      <c r="J31" s="10"/>
      <c r="K31" s="10"/>
      <c r="L31" s="39"/>
    </row>
    <row r="32" spans="1:12" x14ac:dyDescent="0.2">
      <c r="B32" t="s">
        <v>92</v>
      </c>
      <c r="D32" s="19">
        <v>0</v>
      </c>
      <c r="E32" s="19">
        <v>0</v>
      </c>
      <c r="G32" s="40">
        <f>SUM(D32+E32)*G9</f>
        <v>0</v>
      </c>
      <c r="I32" t="s">
        <v>85</v>
      </c>
      <c r="L32" s="41">
        <f>SUM(G32/G9)</f>
        <v>0</v>
      </c>
    </row>
    <row r="33" spans="1:12" x14ac:dyDescent="0.2">
      <c r="A33" t="s">
        <v>93</v>
      </c>
      <c r="E33" s="1"/>
      <c r="G33" s="30">
        <v>0</v>
      </c>
      <c r="I33" t="s">
        <v>85</v>
      </c>
      <c r="L33" s="31">
        <f>G33/$G$9</f>
        <v>0</v>
      </c>
    </row>
    <row r="34" spans="1:12" x14ac:dyDescent="0.2">
      <c r="A34" t="s">
        <v>94</v>
      </c>
      <c r="E34" s="1"/>
      <c r="G34" s="30">
        <v>0</v>
      </c>
      <c r="I34" t="s">
        <v>85</v>
      </c>
      <c r="L34" s="31">
        <f>G34/$G$9</f>
        <v>0</v>
      </c>
    </row>
    <row r="35" spans="1:12" x14ac:dyDescent="0.2">
      <c r="A35" t="s">
        <v>95</v>
      </c>
      <c r="E35" s="1"/>
      <c r="G35" s="30">
        <v>0</v>
      </c>
      <c r="I35" t="s">
        <v>85</v>
      </c>
      <c r="L35" s="31">
        <f>G35/$G$9</f>
        <v>0</v>
      </c>
    </row>
    <row r="36" spans="1:12" x14ac:dyDescent="0.2">
      <c r="A36" t="s">
        <v>96</v>
      </c>
      <c r="E36" s="1"/>
      <c r="G36" s="30">
        <v>0</v>
      </c>
      <c r="I36" t="s">
        <v>85</v>
      </c>
      <c r="L36" s="31">
        <f>G36/$G$9</f>
        <v>0</v>
      </c>
    </row>
    <row r="37" spans="1:12" x14ac:dyDescent="0.2">
      <c r="A37" t="s">
        <v>97</v>
      </c>
      <c r="E37" s="37" t="s">
        <v>98</v>
      </c>
    </row>
    <row r="38" spans="1:12" x14ac:dyDescent="0.2">
      <c r="E38" s="19">
        <v>1</v>
      </c>
      <c r="G38" s="42">
        <v>0</v>
      </c>
      <c r="I38" t="s">
        <v>85</v>
      </c>
      <c r="L38" s="40">
        <f>SUM(G38/E38)/G9</f>
        <v>0</v>
      </c>
    </row>
    <row r="39" spans="1:12" x14ac:dyDescent="0.2">
      <c r="A39" s="13" t="s">
        <v>60</v>
      </c>
      <c r="E39" s="1"/>
      <c r="G39" s="30">
        <v>0</v>
      </c>
      <c r="I39" t="s">
        <v>85</v>
      </c>
      <c r="L39" s="31">
        <f>G39/$G$9</f>
        <v>0</v>
      </c>
    </row>
    <row r="40" spans="1:12" x14ac:dyDescent="0.2">
      <c r="A40" s="13" t="s">
        <v>60</v>
      </c>
      <c r="E40" s="1"/>
      <c r="G40" s="30">
        <v>0</v>
      </c>
      <c r="I40" t="s">
        <v>85</v>
      </c>
      <c r="L40" s="31">
        <f>G40/$G$9</f>
        <v>0</v>
      </c>
    </row>
    <row r="41" spans="1:12" x14ac:dyDescent="0.2">
      <c r="A41" s="13" t="s">
        <v>60</v>
      </c>
      <c r="E41" s="1"/>
      <c r="G41" s="30">
        <v>0</v>
      </c>
      <c r="I41" t="s">
        <v>85</v>
      </c>
      <c r="L41" s="31">
        <f>G41/$G$9</f>
        <v>0</v>
      </c>
    </row>
    <row r="42" spans="1:12" x14ac:dyDescent="0.2">
      <c r="E42" s="1"/>
      <c r="G42" s="1"/>
      <c r="I42" s="5" t="s">
        <v>83</v>
      </c>
      <c r="L42" s="33">
        <f>SUM(L27:L41)</f>
        <v>0</v>
      </c>
    </row>
    <row r="43" spans="1:12" x14ac:dyDescent="0.2">
      <c r="E43" s="1"/>
      <c r="L43" s="43"/>
    </row>
    <row r="44" spans="1:12" x14ac:dyDescent="0.2">
      <c r="E44" s="1"/>
      <c r="G44" s="1"/>
      <c r="J44" s="5" t="s">
        <v>44</v>
      </c>
      <c r="L44" s="33">
        <f>L24+L42</f>
        <v>0</v>
      </c>
    </row>
    <row r="45" spans="1:12" x14ac:dyDescent="0.2">
      <c r="E45" s="1"/>
    </row>
    <row r="46" spans="1:12" x14ac:dyDescent="0.2">
      <c r="E46" s="1"/>
    </row>
    <row r="47" spans="1:12" x14ac:dyDescent="0.2">
      <c r="A47" s="44" t="s">
        <v>14</v>
      </c>
      <c r="B47" s="8" t="s">
        <v>16</v>
      </c>
      <c r="C47" s="4"/>
      <c r="E47" s="1"/>
      <c r="G47" s="45">
        <v>0.25</v>
      </c>
    </row>
    <row r="48" spans="1:12" x14ac:dyDescent="0.2">
      <c r="E48" s="1"/>
    </row>
    <row r="49" spans="1:13" x14ac:dyDescent="0.2">
      <c r="A49" s="8" t="s">
        <v>157</v>
      </c>
      <c r="B49" s="8" t="s">
        <v>101</v>
      </c>
      <c r="C49" s="8"/>
      <c r="D49" s="8"/>
      <c r="E49" s="24"/>
      <c r="F49" s="11"/>
      <c r="G49" s="11"/>
    </row>
    <row r="50" spans="1:13" x14ac:dyDescent="0.2">
      <c r="E50" s="1"/>
      <c r="K50" s="11" t="s">
        <v>39</v>
      </c>
      <c r="L50" s="33">
        <f>' Fixed Expenses'!L66</f>
        <v>10.633512432837685</v>
      </c>
    </row>
    <row r="51" spans="1:13" x14ac:dyDescent="0.2">
      <c r="E51" s="1"/>
    </row>
    <row r="52" spans="1:13" x14ac:dyDescent="0.2">
      <c r="C52" s="5" t="s">
        <v>42</v>
      </c>
      <c r="D52" s="33">
        <f>SUM(L50*H53)</f>
        <v>2.866175857907732E-2</v>
      </c>
      <c r="E52" s="1"/>
      <c r="K52" s="5" t="s">
        <v>102</v>
      </c>
      <c r="L52" s="33">
        <f>D54</f>
        <v>2.866175857907732E-2</v>
      </c>
    </row>
    <row r="53" spans="1:13" x14ac:dyDescent="0.2">
      <c r="C53" s="5" t="s">
        <v>43</v>
      </c>
      <c r="D53" s="33">
        <f>L44</f>
        <v>0</v>
      </c>
      <c r="E53" s="8" t="s">
        <v>103</v>
      </c>
      <c r="H53" s="46">
        <f>SUM(G8/' Fixed Expenses'!L3)</f>
        <v>2.6954177897574125E-3</v>
      </c>
      <c r="K53" s="5" t="s">
        <v>104</v>
      </c>
      <c r="L53" s="33">
        <f>L52*G47</f>
        <v>7.16543964476933E-3</v>
      </c>
    </row>
    <row r="54" spans="1:13" x14ac:dyDescent="0.2">
      <c r="C54" s="5" t="s">
        <v>102</v>
      </c>
      <c r="D54" s="33">
        <f>D52+D53</f>
        <v>2.866175857907732E-2</v>
      </c>
      <c r="E54" s="1"/>
      <c r="K54" s="5" t="s">
        <v>105</v>
      </c>
      <c r="L54" s="33">
        <f>L52+L53</f>
        <v>3.5827198223846647E-2</v>
      </c>
    </row>
    <row r="55" spans="1:13" x14ac:dyDescent="0.2">
      <c r="E55" s="1"/>
    </row>
    <row r="56" spans="1:13" x14ac:dyDescent="0.2">
      <c r="E56" s="1"/>
    </row>
    <row r="57" spans="1:13" x14ac:dyDescent="0.2">
      <c r="A57" s="8" t="s">
        <v>163</v>
      </c>
      <c r="B57" s="8" t="s">
        <v>15</v>
      </c>
      <c r="C57" s="8"/>
      <c r="D57" s="8"/>
      <c r="L57" s="10"/>
      <c r="M57" s="10"/>
    </row>
    <row r="58" spans="1:13" x14ac:dyDescent="0.2">
      <c r="L58" s="81"/>
      <c r="M58" s="10"/>
    </row>
    <row r="59" spans="1:13" x14ac:dyDescent="0.2">
      <c r="J59" s="76"/>
      <c r="K59" s="5" t="s">
        <v>17</v>
      </c>
      <c r="L59" s="52">
        <f>L52</f>
        <v>2.866175857907732E-2</v>
      </c>
      <c r="M59" s="10"/>
    </row>
    <row r="60" spans="1:13" x14ac:dyDescent="0.2">
      <c r="M60" s="10"/>
    </row>
    <row r="61" spans="1:13" x14ac:dyDescent="0.2">
      <c r="F61" s="5" t="s">
        <v>165</v>
      </c>
      <c r="G61" s="80">
        <v>0</v>
      </c>
      <c r="H61" s="91" t="s">
        <v>35</v>
      </c>
      <c r="M61" s="10"/>
    </row>
    <row r="62" spans="1:13" x14ac:dyDescent="0.2">
      <c r="F62" s="5" t="s">
        <v>162</v>
      </c>
      <c r="G62" s="79">
        <f>SUM(L62/L59)</f>
        <v>-1</v>
      </c>
      <c r="J62" s="76"/>
      <c r="K62" s="5" t="s">
        <v>18</v>
      </c>
      <c r="L62" s="52">
        <f>SUM(G61-L59)</f>
        <v>-2.866175857907732E-2</v>
      </c>
    </row>
    <row r="63" spans="1:13" x14ac:dyDescent="0.2">
      <c r="L63" s="10"/>
    </row>
    <row r="64" spans="1:13" x14ac:dyDescent="0.2">
      <c r="A64" s="8" t="s">
        <v>164</v>
      </c>
      <c r="B64" s="8" t="s">
        <v>158</v>
      </c>
      <c r="C64" s="8"/>
      <c r="D64" s="8"/>
      <c r="L64" s="10"/>
    </row>
    <row r="65" spans="6:12" x14ac:dyDescent="0.2">
      <c r="L65" s="10"/>
    </row>
    <row r="66" spans="6:12" x14ac:dyDescent="0.2">
      <c r="F66" s="5" t="s">
        <v>18</v>
      </c>
      <c r="G66" s="77">
        <f>L62</f>
        <v>-2.866175857907732E-2</v>
      </c>
      <c r="L66" s="10"/>
    </row>
    <row r="67" spans="6:12" x14ac:dyDescent="0.2">
      <c r="F67" s="5" t="s">
        <v>159</v>
      </c>
      <c r="G67" s="74">
        <f>G8</f>
        <v>1</v>
      </c>
      <c r="L67" s="10"/>
    </row>
    <row r="68" spans="6:12" x14ac:dyDescent="0.2">
      <c r="L68" s="10"/>
    </row>
    <row r="69" spans="6:12" x14ac:dyDescent="0.2">
      <c r="F69" s="5" t="s">
        <v>160</v>
      </c>
      <c r="G69" s="78">
        <f>SUM(G67*G66)</f>
        <v>-2.866175857907732E-2</v>
      </c>
    </row>
  </sheetData>
  <phoneticPr fontId="0" type="noConversion"/>
  <pageMargins left="0.75" right="0.75" top="1" bottom="1" header="0.5" footer="0.5"/>
  <pageSetup orientation="landscape" horizontalDpi="360" verticalDpi="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EEF81-C14B-4DF6-B420-519C0FFDFC8A}">
  <sheetPr codeName="Sheet16"/>
  <dimension ref="A2:O69"/>
  <sheetViews>
    <sheetView workbookViewId="0">
      <selection activeCell="N3" sqref="N3:O3"/>
    </sheetView>
  </sheetViews>
  <sheetFormatPr defaultColWidth="8.85546875" defaultRowHeight="12.75" x14ac:dyDescent="0.2"/>
  <cols>
    <col min="1" max="1" width="8.85546875" customWidth="1"/>
    <col min="2" max="2" width="9.7109375" customWidth="1"/>
    <col min="3" max="5" width="8.85546875" customWidth="1"/>
    <col min="6" max="6" width="10.42578125" customWidth="1"/>
    <col min="7" max="7" width="10.28515625" bestFit="1" customWidth="1"/>
    <col min="8" max="10" width="8.85546875" customWidth="1"/>
    <col min="11" max="11" width="16.140625" customWidth="1"/>
    <col min="12" max="12" width="11.42578125" customWidth="1"/>
  </cols>
  <sheetData>
    <row r="2" spans="1:15" x14ac:dyDescent="0.2">
      <c r="A2" s="11" t="s">
        <v>9</v>
      </c>
      <c r="B2" s="11"/>
      <c r="C2" s="3" t="str">
        <f>'Total Course Profit'!B20</f>
        <v xml:space="preserve"> </v>
      </c>
      <c r="D2" s="3"/>
    </row>
    <row r="3" spans="1:15" x14ac:dyDescent="0.2">
      <c r="B3" s="86"/>
      <c r="C3" s="10"/>
      <c r="D3" s="10"/>
      <c r="E3" s="1"/>
      <c r="I3" s="5"/>
      <c r="J3" s="23"/>
      <c r="N3" s="49"/>
      <c r="O3" s="49"/>
    </row>
    <row r="4" spans="1:15" x14ac:dyDescent="0.2">
      <c r="E4" s="1"/>
      <c r="I4" s="5"/>
      <c r="J4" s="23"/>
    </row>
    <row r="5" spans="1:15" x14ac:dyDescent="0.2">
      <c r="A5" s="8" t="s">
        <v>99</v>
      </c>
      <c r="B5" s="8" t="s">
        <v>70</v>
      </c>
      <c r="C5" s="8"/>
      <c r="D5" s="8"/>
      <c r="E5" s="24"/>
      <c r="I5" s="5"/>
      <c r="J5" s="23"/>
    </row>
    <row r="6" spans="1:15" x14ac:dyDescent="0.2">
      <c r="A6" s="8"/>
      <c r="B6" s="8"/>
      <c r="C6" s="8"/>
      <c r="D6" s="8"/>
      <c r="E6" s="24"/>
      <c r="I6" s="5"/>
      <c r="J6" s="23"/>
    </row>
    <row r="7" spans="1:15" x14ac:dyDescent="0.2">
      <c r="A7" s="25" t="s">
        <v>106</v>
      </c>
      <c r="B7" s="4"/>
      <c r="C7" s="4"/>
      <c r="E7" s="24"/>
      <c r="G7" s="26" t="s">
        <v>10</v>
      </c>
      <c r="I7" s="5"/>
      <c r="J7" s="23"/>
      <c r="K7" s="5" t="s">
        <v>52</v>
      </c>
      <c r="L7" s="3">
        <f>'Data Entry'!G21</f>
        <v>371</v>
      </c>
    </row>
    <row r="8" spans="1:15" x14ac:dyDescent="0.2">
      <c r="A8" s="27" t="s">
        <v>71</v>
      </c>
      <c r="B8" s="25"/>
      <c r="C8" s="25"/>
      <c r="E8" s="24"/>
      <c r="G8" s="50">
        <v>1</v>
      </c>
      <c r="I8" s="5"/>
      <c r="J8" s="23"/>
    </row>
    <row r="9" spans="1:15" x14ac:dyDescent="0.2">
      <c r="A9" s="27" t="s">
        <v>72</v>
      </c>
      <c r="B9" s="25"/>
      <c r="C9" s="25"/>
      <c r="E9" s="1"/>
      <c r="G9" s="28">
        <v>1</v>
      </c>
      <c r="K9" s="5"/>
      <c r="L9" s="23"/>
    </row>
    <row r="10" spans="1:15" x14ac:dyDescent="0.2">
      <c r="A10" s="27"/>
      <c r="B10" s="25"/>
      <c r="C10" s="25"/>
      <c r="D10" s="29"/>
      <c r="E10" s="1"/>
      <c r="K10" s="5"/>
      <c r="L10" s="23"/>
    </row>
    <row r="11" spans="1:15" x14ac:dyDescent="0.2">
      <c r="A11" s="8" t="s">
        <v>100</v>
      </c>
      <c r="B11" s="8" t="s">
        <v>74</v>
      </c>
      <c r="C11" s="4"/>
      <c r="D11" s="4"/>
      <c r="E11" s="9"/>
    </row>
    <row r="12" spans="1:15" x14ac:dyDescent="0.2">
      <c r="A12" s="11"/>
      <c r="B12" s="11"/>
      <c r="E12" s="1"/>
    </row>
    <row r="13" spans="1:15" x14ac:dyDescent="0.2">
      <c r="A13" s="11" t="s">
        <v>55</v>
      </c>
      <c r="E13" s="1"/>
      <c r="G13" s="5" t="s">
        <v>56</v>
      </c>
    </row>
    <row r="14" spans="1:15" x14ac:dyDescent="0.2">
      <c r="A14" t="s">
        <v>75</v>
      </c>
      <c r="E14" s="1"/>
      <c r="G14" s="30">
        <v>0</v>
      </c>
      <c r="I14" t="s">
        <v>76</v>
      </c>
      <c r="L14" s="31">
        <f t="shared" ref="L14:L23" si="0">G14</f>
        <v>0</v>
      </c>
    </row>
    <row r="15" spans="1:15" x14ac:dyDescent="0.2">
      <c r="A15" t="s">
        <v>77</v>
      </c>
      <c r="E15" s="1"/>
      <c r="G15" s="30">
        <v>0</v>
      </c>
      <c r="I15" t="s">
        <v>76</v>
      </c>
      <c r="L15" s="31">
        <f t="shared" si="0"/>
        <v>0</v>
      </c>
    </row>
    <row r="16" spans="1:15" x14ac:dyDescent="0.2">
      <c r="A16" t="s">
        <v>78</v>
      </c>
      <c r="E16" s="1"/>
      <c r="G16" s="32">
        <v>0</v>
      </c>
      <c r="I16" t="s">
        <v>76</v>
      </c>
      <c r="L16" s="31">
        <f t="shared" si="0"/>
        <v>0</v>
      </c>
    </row>
    <row r="17" spans="1:12" x14ac:dyDescent="0.2">
      <c r="A17" t="s">
        <v>79</v>
      </c>
      <c r="E17" s="1"/>
      <c r="G17" s="30">
        <v>0</v>
      </c>
      <c r="I17" t="s">
        <v>76</v>
      </c>
      <c r="L17" s="31">
        <f t="shared" si="0"/>
        <v>0</v>
      </c>
    </row>
    <row r="18" spans="1:12" x14ac:dyDescent="0.2">
      <c r="A18" t="s">
        <v>80</v>
      </c>
      <c r="E18" s="1"/>
      <c r="G18" s="30">
        <v>0</v>
      </c>
      <c r="I18" t="s">
        <v>76</v>
      </c>
      <c r="L18" s="31">
        <f t="shared" si="0"/>
        <v>0</v>
      </c>
    </row>
    <row r="19" spans="1:12" x14ac:dyDescent="0.2">
      <c r="A19" t="s">
        <v>81</v>
      </c>
      <c r="E19" s="1"/>
      <c r="G19" s="30">
        <v>0</v>
      </c>
      <c r="I19" t="s">
        <v>76</v>
      </c>
      <c r="L19" s="31">
        <f t="shared" si="0"/>
        <v>0</v>
      </c>
    </row>
    <row r="20" spans="1:12" x14ac:dyDescent="0.2">
      <c r="A20" t="s">
        <v>82</v>
      </c>
      <c r="E20" s="1"/>
      <c r="G20" s="30">
        <v>0</v>
      </c>
      <c r="I20" t="s">
        <v>76</v>
      </c>
      <c r="L20" s="31">
        <f t="shared" si="0"/>
        <v>0</v>
      </c>
    </row>
    <row r="21" spans="1:12" x14ac:dyDescent="0.2">
      <c r="A21" s="13" t="s">
        <v>60</v>
      </c>
      <c r="E21" s="1"/>
      <c r="G21" s="30">
        <v>0</v>
      </c>
      <c r="I21" t="s">
        <v>76</v>
      </c>
      <c r="L21" s="31">
        <f t="shared" si="0"/>
        <v>0</v>
      </c>
    </row>
    <row r="22" spans="1:12" x14ac:dyDescent="0.2">
      <c r="A22" s="13" t="s">
        <v>60</v>
      </c>
      <c r="E22" s="1"/>
      <c r="G22" s="30">
        <v>0</v>
      </c>
      <c r="I22" t="s">
        <v>76</v>
      </c>
      <c r="L22" s="31">
        <f t="shared" si="0"/>
        <v>0</v>
      </c>
    </row>
    <row r="23" spans="1:12" x14ac:dyDescent="0.2">
      <c r="A23" s="13" t="s">
        <v>60</v>
      </c>
      <c r="E23" s="1"/>
      <c r="G23" s="30">
        <v>0</v>
      </c>
      <c r="I23" t="s">
        <v>76</v>
      </c>
      <c r="L23" s="31">
        <f t="shared" si="0"/>
        <v>0</v>
      </c>
    </row>
    <row r="24" spans="1:12" x14ac:dyDescent="0.2">
      <c r="E24" s="1"/>
      <c r="G24" s="1"/>
      <c r="K24" s="5" t="s">
        <v>83</v>
      </c>
      <c r="L24" s="33">
        <f>SUM(L14:L23)</f>
        <v>0</v>
      </c>
    </row>
    <row r="25" spans="1:12" x14ac:dyDescent="0.2">
      <c r="A25" s="11"/>
      <c r="B25" s="11"/>
      <c r="E25" s="1"/>
      <c r="L25" s="1"/>
    </row>
    <row r="26" spans="1:12" x14ac:dyDescent="0.2">
      <c r="A26" s="11" t="s">
        <v>55</v>
      </c>
      <c r="E26" s="1"/>
      <c r="G26" s="5" t="s">
        <v>56</v>
      </c>
    </row>
    <row r="27" spans="1:12" x14ac:dyDescent="0.2">
      <c r="A27" t="s">
        <v>84</v>
      </c>
      <c r="E27" s="1"/>
      <c r="G27" s="30">
        <v>0</v>
      </c>
      <c r="I27" t="s">
        <v>85</v>
      </c>
      <c r="L27" s="31">
        <f>G27/$G$9</f>
        <v>0</v>
      </c>
    </row>
    <row r="28" spans="1:12" x14ac:dyDescent="0.2">
      <c r="A28" t="s">
        <v>86</v>
      </c>
      <c r="D28" s="34"/>
      <c r="E28" s="35"/>
      <c r="G28" s="30">
        <v>0</v>
      </c>
      <c r="I28" t="s">
        <v>85</v>
      </c>
      <c r="L28" s="31">
        <f>G28/$G$9</f>
        <v>0</v>
      </c>
    </row>
    <row r="29" spans="1:12" x14ac:dyDescent="0.2">
      <c r="A29" t="s">
        <v>87</v>
      </c>
      <c r="E29" s="36" t="s">
        <v>88</v>
      </c>
    </row>
    <row r="30" spans="1:12" x14ac:dyDescent="0.2">
      <c r="E30" s="19">
        <v>0</v>
      </c>
      <c r="G30" s="30">
        <v>0</v>
      </c>
      <c r="I30" t="s">
        <v>89</v>
      </c>
      <c r="L30" s="31">
        <f>SUM(E30*G30)</f>
        <v>0</v>
      </c>
    </row>
    <row r="31" spans="1:12" x14ac:dyDescent="0.2">
      <c r="A31" t="s">
        <v>50</v>
      </c>
      <c r="D31" s="37" t="s">
        <v>90</v>
      </c>
      <c r="E31" s="37" t="s">
        <v>91</v>
      </c>
      <c r="G31" s="38"/>
      <c r="H31" s="10"/>
      <c r="I31" s="10"/>
      <c r="J31" s="10"/>
      <c r="K31" s="10"/>
      <c r="L31" s="39"/>
    </row>
    <row r="32" spans="1:12" x14ac:dyDescent="0.2">
      <c r="B32" t="s">
        <v>92</v>
      </c>
      <c r="D32" s="19">
        <v>0</v>
      </c>
      <c r="E32" s="19">
        <v>0</v>
      </c>
      <c r="G32" s="40">
        <f>SUM(D32+E32)*G9</f>
        <v>0</v>
      </c>
      <c r="I32" t="s">
        <v>85</v>
      </c>
      <c r="L32" s="41">
        <f>SUM(G32/G9)</f>
        <v>0</v>
      </c>
    </row>
    <row r="33" spans="1:12" x14ac:dyDescent="0.2">
      <c r="A33" t="s">
        <v>93</v>
      </c>
      <c r="E33" s="1"/>
      <c r="G33" s="30">
        <v>0</v>
      </c>
      <c r="I33" t="s">
        <v>85</v>
      </c>
      <c r="L33" s="31">
        <f>G33/$G$9</f>
        <v>0</v>
      </c>
    </row>
    <row r="34" spans="1:12" x14ac:dyDescent="0.2">
      <c r="A34" t="s">
        <v>94</v>
      </c>
      <c r="E34" s="1"/>
      <c r="G34" s="30">
        <v>0</v>
      </c>
      <c r="I34" t="s">
        <v>85</v>
      </c>
      <c r="L34" s="31">
        <f>G34/$G$9</f>
        <v>0</v>
      </c>
    </row>
    <row r="35" spans="1:12" x14ac:dyDescent="0.2">
      <c r="A35" t="s">
        <v>95</v>
      </c>
      <c r="E35" s="1"/>
      <c r="G35" s="30">
        <v>0</v>
      </c>
      <c r="I35" t="s">
        <v>85</v>
      </c>
      <c r="L35" s="31">
        <f>G35/$G$9</f>
        <v>0</v>
      </c>
    </row>
    <row r="36" spans="1:12" x14ac:dyDescent="0.2">
      <c r="A36" t="s">
        <v>96</v>
      </c>
      <c r="E36" s="1"/>
      <c r="G36" s="30">
        <v>0</v>
      </c>
      <c r="I36" t="s">
        <v>85</v>
      </c>
      <c r="L36" s="31">
        <f>G36/$G$9</f>
        <v>0</v>
      </c>
    </row>
    <row r="37" spans="1:12" x14ac:dyDescent="0.2">
      <c r="A37" t="s">
        <v>97</v>
      </c>
      <c r="E37" s="37" t="s">
        <v>98</v>
      </c>
    </row>
    <row r="38" spans="1:12" x14ac:dyDescent="0.2">
      <c r="E38" s="19">
        <v>1</v>
      </c>
      <c r="G38" s="42">
        <v>0</v>
      </c>
      <c r="I38" t="s">
        <v>85</v>
      </c>
      <c r="L38" s="40">
        <f>SUM(G38/E38)/G9</f>
        <v>0</v>
      </c>
    </row>
    <row r="39" spans="1:12" x14ac:dyDescent="0.2">
      <c r="A39" s="13" t="s">
        <v>60</v>
      </c>
      <c r="E39" s="1"/>
      <c r="G39" s="30">
        <v>0</v>
      </c>
      <c r="I39" t="s">
        <v>85</v>
      </c>
      <c r="L39" s="31">
        <f>G39/$G$9</f>
        <v>0</v>
      </c>
    </row>
    <row r="40" spans="1:12" x14ac:dyDescent="0.2">
      <c r="A40" s="13" t="s">
        <v>60</v>
      </c>
      <c r="E40" s="1"/>
      <c r="G40" s="30">
        <v>0</v>
      </c>
      <c r="I40" t="s">
        <v>85</v>
      </c>
      <c r="L40" s="31">
        <f>G40/$G$9</f>
        <v>0</v>
      </c>
    </row>
    <row r="41" spans="1:12" x14ac:dyDescent="0.2">
      <c r="A41" s="13" t="s">
        <v>60</v>
      </c>
      <c r="E41" s="1"/>
      <c r="G41" s="30">
        <v>0</v>
      </c>
      <c r="I41" t="s">
        <v>85</v>
      </c>
      <c r="L41" s="31">
        <f>G41/$G$9</f>
        <v>0</v>
      </c>
    </row>
    <row r="42" spans="1:12" x14ac:dyDescent="0.2">
      <c r="E42" s="1"/>
      <c r="G42" s="1"/>
      <c r="I42" s="5" t="s">
        <v>83</v>
      </c>
      <c r="L42" s="33">
        <f>SUM(L27:L41)</f>
        <v>0</v>
      </c>
    </row>
    <row r="43" spans="1:12" x14ac:dyDescent="0.2">
      <c r="E43" s="1"/>
      <c r="L43" s="43"/>
    </row>
    <row r="44" spans="1:12" x14ac:dyDescent="0.2">
      <c r="E44" s="1"/>
      <c r="G44" s="1"/>
      <c r="J44" s="5" t="s">
        <v>44</v>
      </c>
      <c r="L44" s="33">
        <f>L24+L42</f>
        <v>0</v>
      </c>
    </row>
    <row r="45" spans="1:12" x14ac:dyDescent="0.2">
      <c r="E45" s="1"/>
    </row>
    <row r="46" spans="1:12" x14ac:dyDescent="0.2">
      <c r="E46" s="1"/>
    </row>
    <row r="47" spans="1:12" x14ac:dyDescent="0.2">
      <c r="A47" s="44" t="s">
        <v>14</v>
      </c>
      <c r="B47" s="8" t="s">
        <v>16</v>
      </c>
      <c r="C47" s="4"/>
      <c r="E47" s="1"/>
      <c r="G47" s="45">
        <v>0.25</v>
      </c>
    </row>
    <row r="48" spans="1:12" x14ac:dyDescent="0.2">
      <c r="E48" s="1"/>
    </row>
    <row r="49" spans="1:13" x14ac:dyDescent="0.2">
      <c r="A49" s="8" t="s">
        <v>157</v>
      </c>
      <c r="B49" s="8" t="s">
        <v>101</v>
      </c>
      <c r="C49" s="8"/>
      <c r="D49" s="8"/>
      <c r="E49" s="24"/>
      <c r="F49" s="11"/>
      <c r="G49" s="11"/>
    </row>
    <row r="50" spans="1:13" x14ac:dyDescent="0.2">
      <c r="E50" s="1"/>
      <c r="K50" s="11" t="s">
        <v>39</v>
      </c>
      <c r="L50" s="33">
        <f>' Fixed Expenses'!L66</f>
        <v>10.633512432837685</v>
      </c>
    </row>
    <row r="51" spans="1:13" x14ac:dyDescent="0.2">
      <c r="E51" s="1"/>
    </row>
    <row r="52" spans="1:13" x14ac:dyDescent="0.2">
      <c r="C52" s="5" t="s">
        <v>42</v>
      </c>
      <c r="D52" s="33">
        <f>SUM(L50*H53)</f>
        <v>2.866175857907732E-2</v>
      </c>
      <c r="E52" s="1"/>
      <c r="K52" s="5" t="s">
        <v>102</v>
      </c>
      <c r="L52" s="33">
        <f>D54</f>
        <v>2.866175857907732E-2</v>
      </c>
    </row>
    <row r="53" spans="1:13" x14ac:dyDescent="0.2">
      <c r="C53" s="5" t="s">
        <v>43</v>
      </c>
      <c r="D53" s="33">
        <f>L44</f>
        <v>0</v>
      </c>
      <c r="E53" s="8" t="s">
        <v>103</v>
      </c>
      <c r="H53" s="46">
        <f>SUM(G8/' Fixed Expenses'!L3)</f>
        <v>2.6954177897574125E-3</v>
      </c>
      <c r="K53" s="5" t="s">
        <v>104</v>
      </c>
      <c r="L53" s="33">
        <f>L52*G47</f>
        <v>7.16543964476933E-3</v>
      </c>
    </row>
    <row r="54" spans="1:13" x14ac:dyDescent="0.2">
      <c r="C54" s="5" t="s">
        <v>102</v>
      </c>
      <c r="D54" s="33">
        <f>D52+D53</f>
        <v>2.866175857907732E-2</v>
      </c>
      <c r="E54" s="1"/>
      <c r="K54" s="5" t="s">
        <v>105</v>
      </c>
      <c r="L54" s="33">
        <f>L52+L53</f>
        <v>3.5827198223846647E-2</v>
      </c>
    </row>
    <row r="55" spans="1:13" x14ac:dyDescent="0.2">
      <c r="E55" s="1"/>
    </row>
    <row r="56" spans="1:13" x14ac:dyDescent="0.2">
      <c r="E56" s="1"/>
    </row>
    <row r="57" spans="1:13" x14ac:dyDescent="0.2">
      <c r="A57" s="8" t="s">
        <v>163</v>
      </c>
      <c r="B57" s="8" t="s">
        <v>15</v>
      </c>
      <c r="C57" s="8"/>
      <c r="D57" s="8"/>
      <c r="L57" s="10"/>
      <c r="M57" s="10"/>
    </row>
    <row r="58" spans="1:13" x14ac:dyDescent="0.2">
      <c r="L58" s="81"/>
      <c r="M58" s="10"/>
    </row>
    <row r="59" spans="1:13" x14ac:dyDescent="0.2">
      <c r="J59" s="76"/>
      <c r="K59" s="5" t="s">
        <v>17</v>
      </c>
      <c r="L59" s="52">
        <f>L52</f>
        <v>2.866175857907732E-2</v>
      </c>
      <c r="M59" s="10"/>
    </row>
    <row r="60" spans="1:13" x14ac:dyDescent="0.2">
      <c r="M60" s="10"/>
    </row>
    <row r="61" spans="1:13" x14ac:dyDescent="0.2">
      <c r="F61" s="5" t="s">
        <v>165</v>
      </c>
      <c r="G61" s="80">
        <v>0</v>
      </c>
      <c r="H61" s="91" t="s">
        <v>35</v>
      </c>
      <c r="M61" s="10"/>
    </row>
    <row r="62" spans="1:13" x14ac:dyDescent="0.2">
      <c r="F62" s="5" t="s">
        <v>162</v>
      </c>
      <c r="G62" s="79">
        <f>SUM(L62/L59)</f>
        <v>-1</v>
      </c>
      <c r="J62" s="76"/>
      <c r="K62" s="5" t="s">
        <v>18</v>
      </c>
      <c r="L62" s="52">
        <f>SUM(G61-L59)</f>
        <v>-2.866175857907732E-2</v>
      </c>
    </row>
    <row r="63" spans="1:13" x14ac:dyDescent="0.2">
      <c r="L63" s="10"/>
    </row>
    <row r="64" spans="1:13" x14ac:dyDescent="0.2">
      <c r="A64" s="8" t="s">
        <v>164</v>
      </c>
      <c r="B64" s="8" t="s">
        <v>158</v>
      </c>
      <c r="C64" s="8"/>
      <c r="D64" s="8"/>
      <c r="L64" s="10"/>
    </row>
    <row r="65" spans="6:12" x14ac:dyDescent="0.2">
      <c r="L65" s="10"/>
    </row>
    <row r="66" spans="6:12" x14ac:dyDescent="0.2">
      <c r="F66" s="5" t="s">
        <v>18</v>
      </c>
      <c r="G66" s="77">
        <f>L62</f>
        <v>-2.866175857907732E-2</v>
      </c>
      <c r="L66" s="10"/>
    </row>
    <row r="67" spans="6:12" x14ac:dyDescent="0.2">
      <c r="F67" s="5" t="s">
        <v>159</v>
      </c>
      <c r="G67" s="74">
        <f>G8</f>
        <v>1</v>
      </c>
      <c r="L67" s="10"/>
    </row>
    <row r="68" spans="6:12" x14ac:dyDescent="0.2">
      <c r="L68" s="10"/>
    </row>
    <row r="69" spans="6:12" x14ac:dyDescent="0.2">
      <c r="F69" s="5" t="s">
        <v>160</v>
      </c>
      <c r="G69" s="78">
        <f>SUM(G67*G66)</f>
        <v>-2.866175857907732E-2</v>
      </c>
    </row>
  </sheetData>
  <phoneticPr fontId="0" type="noConversion"/>
  <pageMargins left="0.75" right="0.75" top="1" bottom="1" header="0.5" footer="0.5"/>
  <pageSetup orientation="landscape" horizontalDpi="360" verticalDpi="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4EAEB-9881-4767-B9F2-680A0538517D}">
  <sheetPr codeName="Sheet17"/>
  <dimension ref="A2:O69"/>
  <sheetViews>
    <sheetView workbookViewId="0">
      <selection activeCell="N3" sqref="N3:O3"/>
    </sheetView>
  </sheetViews>
  <sheetFormatPr defaultColWidth="8.85546875" defaultRowHeight="12.75" x14ac:dyDescent="0.2"/>
  <cols>
    <col min="1" max="1" width="8.85546875" customWidth="1"/>
    <col min="2" max="2" width="9.7109375" customWidth="1"/>
    <col min="3" max="5" width="8.85546875" customWidth="1"/>
    <col min="6" max="6" width="10.42578125" customWidth="1"/>
    <col min="7" max="7" width="10.28515625" bestFit="1" customWidth="1"/>
    <col min="8" max="10" width="8.85546875" customWidth="1"/>
    <col min="11" max="11" width="16.140625" customWidth="1"/>
    <col min="12" max="12" width="11.42578125" customWidth="1"/>
  </cols>
  <sheetData>
    <row r="2" spans="1:15" x14ac:dyDescent="0.2">
      <c r="A2" s="11" t="s">
        <v>9</v>
      </c>
      <c r="B2" s="11"/>
      <c r="C2" s="3" t="str">
        <f>'Total Course Profit'!B21</f>
        <v xml:space="preserve"> </v>
      </c>
      <c r="D2" s="3"/>
    </row>
    <row r="3" spans="1:15" x14ac:dyDescent="0.2">
      <c r="B3" s="86"/>
      <c r="C3" s="10"/>
      <c r="D3" s="10"/>
      <c r="E3" s="89"/>
      <c r="I3" s="5"/>
      <c r="J3" s="23"/>
      <c r="N3" s="49"/>
      <c r="O3" s="49"/>
    </row>
    <row r="4" spans="1:15" x14ac:dyDescent="0.2">
      <c r="B4" s="10"/>
      <c r="C4" s="10"/>
      <c r="D4" s="10"/>
      <c r="E4" s="89"/>
      <c r="I4" s="5"/>
      <c r="J4" s="23"/>
    </row>
    <row r="5" spans="1:15" x14ac:dyDescent="0.2">
      <c r="A5" s="8" t="s">
        <v>99</v>
      </c>
      <c r="B5" s="8" t="s">
        <v>70</v>
      </c>
      <c r="C5" s="8"/>
      <c r="D5" s="8"/>
      <c r="E5" s="24"/>
      <c r="I5" s="5"/>
      <c r="J5" s="23"/>
    </row>
    <row r="6" spans="1:15" x14ac:dyDescent="0.2">
      <c r="A6" s="8"/>
      <c r="B6" s="8"/>
      <c r="C6" s="8"/>
      <c r="D6" s="8"/>
      <c r="E6" s="24"/>
      <c r="I6" s="5"/>
      <c r="J6" s="23"/>
    </row>
    <row r="7" spans="1:15" x14ac:dyDescent="0.2">
      <c r="A7" s="25" t="s">
        <v>106</v>
      </c>
      <c r="B7" s="4"/>
      <c r="C7" s="4"/>
      <c r="E7" s="24"/>
      <c r="G7" s="26" t="s">
        <v>10</v>
      </c>
      <c r="I7" s="5"/>
      <c r="J7" s="23"/>
      <c r="K7" s="5" t="s">
        <v>52</v>
      </c>
      <c r="L7" s="3">
        <f>'Data Entry'!G21</f>
        <v>371</v>
      </c>
    </row>
    <row r="8" spans="1:15" x14ac:dyDescent="0.2">
      <c r="A8" s="27" t="s">
        <v>71</v>
      </c>
      <c r="B8" s="25"/>
      <c r="C8" s="25"/>
      <c r="E8" s="24"/>
      <c r="G8" s="50">
        <v>1</v>
      </c>
      <c r="I8" s="5"/>
      <c r="J8" s="23"/>
    </row>
    <row r="9" spans="1:15" x14ac:dyDescent="0.2">
      <c r="A9" s="27" t="s">
        <v>72</v>
      </c>
      <c r="B9" s="25"/>
      <c r="C9" s="25"/>
      <c r="E9" s="1"/>
      <c r="G9" s="28">
        <v>1</v>
      </c>
      <c r="K9" s="5"/>
      <c r="L9" s="23"/>
    </row>
    <row r="10" spans="1:15" x14ac:dyDescent="0.2">
      <c r="A10" s="27"/>
      <c r="B10" s="25"/>
      <c r="C10" s="25"/>
      <c r="D10" s="29"/>
      <c r="E10" s="1"/>
      <c r="K10" s="5"/>
      <c r="L10" s="23"/>
    </row>
    <row r="11" spans="1:15" x14ac:dyDescent="0.2">
      <c r="A11" s="8" t="s">
        <v>100</v>
      </c>
      <c r="B11" s="8" t="s">
        <v>74</v>
      </c>
      <c r="C11" s="4"/>
      <c r="D11" s="4"/>
      <c r="E11" s="9"/>
    </row>
    <row r="12" spans="1:15" x14ac:dyDescent="0.2">
      <c r="A12" s="11"/>
      <c r="B12" s="11"/>
      <c r="E12" s="1"/>
    </row>
    <row r="13" spans="1:15" x14ac:dyDescent="0.2">
      <c r="A13" s="11" t="s">
        <v>55</v>
      </c>
      <c r="E13" s="1"/>
      <c r="G13" s="5" t="s">
        <v>56</v>
      </c>
    </row>
    <row r="14" spans="1:15" x14ac:dyDescent="0.2">
      <c r="A14" t="s">
        <v>75</v>
      </c>
      <c r="E14" s="1"/>
      <c r="G14" s="30">
        <v>0</v>
      </c>
      <c r="I14" t="s">
        <v>76</v>
      </c>
      <c r="L14" s="31">
        <f t="shared" ref="L14:L23" si="0">G14</f>
        <v>0</v>
      </c>
    </row>
    <row r="15" spans="1:15" x14ac:dyDescent="0.2">
      <c r="A15" t="s">
        <v>77</v>
      </c>
      <c r="E15" s="1"/>
      <c r="G15" s="30">
        <v>0</v>
      </c>
      <c r="I15" t="s">
        <v>76</v>
      </c>
      <c r="L15" s="31">
        <f t="shared" si="0"/>
        <v>0</v>
      </c>
    </row>
    <row r="16" spans="1:15" x14ac:dyDescent="0.2">
      <c r="A16" t="s">
        <v>78</v>
      </c>
      <c r="E16" s="1"/>
      <c r="G16" s="32">
        <v>0</v>
      </c>
      <c r="I16" t="s">
        <v>76</v>
      </c>
      <c r="L16" s="31">
        <f t="shared" si="0"/>
        <v>0</v>
      </c>
    </row>
    <row r="17" spans="1:12" x14ac:dyDescent="0.2">
      <c r="A17" t="s">
        <v>79</v>
      </c>
      <c r="E17" s="1"/>
      <c r="G17" s="30">
        <v>0</v>
      </c>
      <c r="I17" t="s">
        <v>76</v>
      </c>
      <c r="L17" s="31">
        <f t="shared" si="0"/>
        <v>0</v>
      </c>
    </row>
    <row r="18" spans="1:12" x14ac:dyDescent="0.2">
      <c r="A18" t="s">
        <v>80</v>
      </c>
      <c r="E18" s="1"/>
      <c r="G18" s="30">
        <v>0</v>
      </c>
      <c r="I18" t="s">
        <v>76</v>
      </c>
      <c r="L18" s="31">
        <f t="shared" si="0"/>
        <v>0</v>
      </c>
    </row>
    <row r="19" spans="1:12" x14ac:dyDescent="0.2">
      <c r="A19" t="s">
        <v>81</v>
      </c>
      <c r="E19" s="1"/>
      <c r="G19" s="30">
        <v>0</v>
      </c>
      <c r="I19" t="s">
        <v>76</v>
      </c>
      <c r="L19" s="31">
        <f t="shared" si="0"/>
        <v>0</v>
      </c>
    </row>
    <row r="20" spans="1:12" x14ac:dyDescent="0.2">
      <c r="A20" t="s">
        <v>82</v>
      </c>
      <c r="E20" s="1"/>
      <c r="G20" s="30">
        <v>0</v>
      </c>
      <c r="I20" t="s">
        <v>76</v>
      </c>
      <c r="L20" s="31">
        <f t="shared" si="0"/>
        <v>0</v>
      </c>
    </row>
    <row r="21" spans="1:12" x14ac:dyDescent="0.2">
      <c r="A21" s="13" t="s">
        <v>60</v>
      </c>
      <c r="E21" s="1"/>
      <c r="G21" s="30">
        <v>0</v>
      </c>
      <c r="I21" t="s">
        <v>76</v>
      </c>
      <c r="L21" s="31">
        <f t="shared" si="0"/>
        <v>0</v>
      </c>
    </row>
    <row r="22" spans="1:12" x14ac:dyDescent="0.2">
      <c r="A22" s="13" t="s">
        <v>60</v>
      </c>
      <c r="E22" s="1"/>
      <c r="G22" s="30">
        <v>0</v>
      </c>
      <c r="I22" t="s">
        <v>76</v>
      </c>
      <c r="L22" s="31">
        <f t="shared" si="0"/>
        <v>0</v>
      </c>
    </row>
    <row r="23" spans="1:12" x14ac:dyDescent="0.2">
      <c r="A23" s="13" t="s">
        <v>60</v>
      </c>
      <c r="E23" s="1"/>
      <c r="G23" s="30">
        <v>0</v>
      </c>
      <c r="I23" t="s">
        <v>76</v>
      </c>
      <c r="L23" s="31">
        <f t="shared" si="0"/>
        <v>0</v>
      </c>
    </row>
    <row r="24" spans="1:12" x14ac:dyDescent="0.2">
      <c r="E24" s="1"/>
      <c r="G24" s="1"/>
      <c r="K24" s="5" t="s">
        <v>83</v>
      </c>
      <c r="L24" s="33">
        <f>SUM(L14:L23)</f>
        <v>0</v>
      </c>
    </row>
    <row r="25" spans="1:12" x14ac:dyDescent="0.2">
      <c r="A25" s="11"/>
      <c r="B25" s="11"/>
      <c r="E25" s="1"/>
      <c r="L25" s="1"/>
    </row>
    <row r="26" spans="1:12" x14ac:dyDescent="0.2">
      <c r="A26" s="11" t="s">
        <v>55</v>
      </c>
      <c r="E26" s="1"/>
      <c r="G26" s="5" t="s">
        <v>56</v>
      </c>
    </row>
    <row r="27" spans="1:12" x14ac:dyDescent="0.2">
      <c r="A27" t="s">
        <v>84</v>
      </c>
      <c r="E27" s="1"/>
      <c r="G27" s="30">
        <v>0</v>
      </c>
      <c r="I27" t="s">
        <v>85</v>
      </c>
      <c r="L27" s="31">
        <f>G27/$G$9</f>
        <v>0</v>
      </c>
    </row>
    <row r="28" spans="1:12" x14ac:dyDescent="0.2">
      <c r="A28" t="s">
        <v>86</v>
      </c>
      <c r="D28" s="34"/>
      <c r="E28" s="35"/>
      <c r="G28" s="30">
        <v>0</v>
      </c>
      <c r="I28" t="s">
        <v>85</v>
      </c>
      <c r="L28" s="31">
        <f>G28/$G$9</f>
        <v>0</v>
      </c>
    </row>
    <row r="29" spans="1:12" x14ac:dyDescent="0.2">
      <c r="A29" t="s">
        <v>87</v>
      </c>
      <c r="E29" s="36" t="s">
        <v>88</v>
      </c>
    </row>
    <row r="30" spans="1:12" x14ac:dyDescent="0.2">
      <c r="D30" t="s">
        <v>173</v>
      </c>
      <c r="E30" s="19">
        <v>0</v>
      </c>
      <c r="G30" s="30">
        <v>0</v>
      </c>
      <c r="I30" t="s">
        <v>89</v>
      </c>
      <c r="L30" s="31">
        <f>SUM(E30*G30)</f>
        <v>0</v>
      </c>
    </row>
    <row r="31" spans="1:12" x14ac:dyDescent="0.2">
      <c r="A31" t="s">
        <v>50</v>
      </c>
      <c r="D31" s="37" t="s">
        <v>90</v>
      </c>
      <c r="E31" s="37" t="s">
        <v>91</v>
      </c>
      <c r="G31" s="38"/>
      <c r="H31" s="10"/>
      <c r="I31" s="10"/>
      <c r="J31" s="10"/>
      <c r="K31" s="10"/>
      <c r="L31" s="39"/>
    </row>
    <row r="32" spans="1:12" x14ac:dyDescent="0.2">
      <c r="B32" t="s">
        <v>92</v>
      </c>
      <c r="D32" s="19">
        <v>0</v>
      </c>
      <c r="E32" s="19">
        <v>0</v>
      </c>
      <c r="G32" s="40">
        <f>SUM(D32+E32)*G9</f>
        <v>0</v>
      </c>
      <c r="I32" t="s">
        <v>85</v>
      </c>
      <c r="L32" s="41">
        <f>SUM(G32/G9)</f>
        <v>0</v>
      </c>
    </row>
    <row r="33" spans="1:12" x14ac:dyDescent="0.2">
      <c r="A33" t="s">
        <v>93</v>
      </c>
      <c r="E33" s="1"/>
      <c r="G33" s="30">
        <v>0</v>
      </c>
      <c r="I33" t="s">
        <v>85</v>
      </c>
      <c r="L33" s="31">
        <f>G33/$G$9</f>
        <v>0</v>
      </c>
    </row>
    <row r="34" spans="1:12" x14ac:dyDescent="0.2">
      <c r="A34" t="s">
        <v>94</v>
      </c>
      <c r="E34" s="1"/>
      <c r="G34" s="30">
        <v>0</v>
      </c>
      <c r="I34" t="s">
        <v>85</v>
      </c>
      <c r="L34" s="31">
        <f>G34/$G$9</f>
        <v>0</v>
      </c>
    </row>
    <row r="35" spans="1:12" x14ac:dyDescent="0.2">
      <c r="A35" t="s">
        <v>95</v>
      </c>
      <c r="E35" s="1"/>
      <c r="G35" s="30">
        <v>0</v>
      </c>
      <c r="I35" t="s">
        <v>85</v>
      </c>
      <c r="L35" s="31">
        <f>G35/$G$9</f>
        <v>0</v>
      </c>
    </row>
    <row r="36" spans="1:12" x14ac:dyDescent="0.2">
      <c r="A36" t="s">
        <v>96</v>
      </c>
      <c r="E36" s="1"/>
      <c r="G36" s="30">
        <v>0</v>
      </c>
      <c r="I36" t="s">
        <v>85</v>
      </c>
      <c r="L36" s="31">
        <f>G36/$G$9</f>
        <v>0</v>
      </c>
    </row>
    <row r="37" spans="1:12" x14ac:dyDescent="0.2">
      <c r="A37" t="s">
        <v>97</v>
      </c>
      <c r="E37" s="37" t="s">
        <v>98</v>
      </c>
    </row>
    <row r="38" spans="1:12" x14ac:dyDescent="0.2">
      <c r="E38" s="19">
        <v>1</v>
      </c>
      <c r="G38" s="42">
        <v>0</v>
      </c>
      <c r="I38" t="s">
        <v>85</v>
      </c>
      <c r="L38" s="40">
        <f>SUM(G38/E38)/G9</f>
        <v>0</v>
      </c>
    </row>
    <row r="39" spans="1:12" x14ac:dyDescent="0.2">
      <c r="A39" s="13" t="s">
        <v>60</v>
      </c>
      <c r="E39" s="1"/>
      <c r="G39" s="30">
        <v>0</v>
      </c>
      <c r="I39" t="s">
        <v>85</v>
      </c>
      <c r="L39" s="31">
        <f>G39/$G$9</f>
        <v>0</v>
      </c>
    </row>
    <row r="40" spans="1:12" x14ac:dyDescent="0.2">
      <c r="A40" s="13" t="s">
        <v>60</v>
      </c>
      <c r="E40" s="1"/>
      <c r="G40" s="30">
        <v>0</v>
      </c>
      <c r="I40" t="s">
        <v>85</v>
      </c>
      <c r="L40" s="31">
        <f>G40/$G$9</f>
        <v>0</v>
      </c>
    </row>
    <row r="41" spans="1:12" x14ac:dyDescent="0.2">
      <c r="A41" s="13" t="s">
        <v>60</v>
      </c>
      <c r="E41" s="1"/>
      <c r="G41" s="30">
        <v>0</v>
      </c>
      <c r="I41" t="s">
        <v>85</v>
      </c>
      <c r="L41" s="31">
        <f>G41/$G$9</f>
        <v>0</v>
      </c>
    </row>
    <row r="42" spans="1:12" x14ac:dyDescent="0.2">
      <c r="E42" s="1"/>
      <c r="G42" s="1"/>
      <c r="I42" s="5" t="s">
        <v>83</v>
      </c>
      <c r="L42" s="33">
        <f>SUM(L27:L41)</f>
        <v>0</v>
      </c>
    </row>
    <row r="43" spans="1:12" x14ac:dyDescent="0.2">
      <c r="E43" s="1"/>
      <c r="L43" s="43"/>
    </row>
    <row r="44" spans="1:12" x14ac:dyDescent="0.2">
      <c r="E44" s="1"/>
      <c r="G44" s="1"/>
      <c r="J44" s="5" t="s">
        <v>44</v>
      </c>
      <c r="L44" s="33">
        <f>L24+L42</f>
        <v>0</v>
      </c>
    </row>
    <row r="45" spans="1:12" x14ac:dyDescent="0.2">
      <c r="E45" s="1"/>
    </row>
    <row r="46" spans="1:12" x14ac:dyDescent="0.2">
      <c r="E46" s="1"/>
    </row>
    <row r="47" spans="1:12" x14ac:dyDescent="0.2">
      <c r="A47" s="44" t="s">
        <v>14</v>
      </c>
      <c r="B47" s="8" t="s">
        <v>16</v>
      </c>
      <c r="C47" s="4"/>
      <c r="E47" s="1"/>
      <c r="G47" s="45">
        <v>0.25</v>
      </c>
    </row>
    <row r="48" spans="1:12" x14ac:dyDescent="0.2">
      <c r="E48" s="1"/>
    </row>
    <row r="49" spans="1:13" x14ac:dyDescent="0.2">
      <c r="A49" s="8" t="s">
        <v>157</v>
      </c>
      <c r="B49" s="8" t="s">
        <v>101</v>
      </c>
      <c r="C49" s="8"/>
      <c r="D49" s="8"/>
      <c r="E49" s="24"/>
      <c r="F49" s="11"/>
      <c r="G49" s="11"/>
    </row>
    <row r="50" spans="1:13" x14ac:dyDescent="0.2">
      <c r="E50" s="1"/>
      <c r="K50" s="11" t="s">
        <v>39</v>
      </c>
      <c r="L50" s="33">
        <f>' Fixed Expenses'!L66</f>
        <v>10.633512432837685</v>
      </c>
    </row>
    <row r="51" spans="1:13" x14ac:dyDescent="0.2">
      <c r="E51" s="1"/>
    </row>
    <row r="52" spans="1:13" x14ac:dyDescent="0.2">
      <c r="C52" s="5" t="s">
        <v>42</v>
      </c>
      <c r="D52" s="33">
        <f>SUM(L50*H53)</f>
        <v>2.866175857907732E-2</v>
      </c>
      <c r="E52" s="1"/>
      <c r="K52" s="5" t="s">
        <v>102</v>
      </c>
      <c r="L52" s="33">
        <f>D54</f>
        <v>2.866175857907732E-2</v>
      </c>
    </row>
    <row r="53" spans="1:13" x14ac:dyDescent="0.2">
      <c r="C53" s="5" t="s">
        <v>43</v>
      </c>
      <c r="D53" s="33">
        <f>L44</f>
        <v>0</v>
      </c>
      <c r="E53" s="8" t="s">
        <v>103</v>
      </c>
      <c r="H53" s="46">
        <f>SUM(G8/' Fixed Expenses'!L3)</f>
        <v>2.6954177897574125E-3</v>
      </c>
      <c r="K53" s="5" t="s">
        <v>104</v>
      </c>
      <c r="L53" s="33">
        <f>L52*G47</f>
        <v>7.16543964476933E-3</v>
      </c>
    </row>
    <row r="54" spans="1:13" x14ac:dyDescent="0.2">
      <c r="C54" s="5" t="s">
        <v>102</v>
      </c>
      <c r="D54" s="33">
        <f>D52+D53</f>
        <v>2.866175857907732E-2</v>
      </c>
      <c r="E54" s="1"/>
      <c r="K54" s="5" t="s">
        <v>105</v>
      </c>
      <c r="L54" s="33">
        <f>L52+L53</f>
        <v>3.5827198223846647E-2</v>
      </c>
    </row>
    <row r="55" spans="1:13" x14ac:dyDescent="0.2">
      <c r="E55" s="1"/>
    </row>
    <row r="56" spans="1:13" x14ac:dyDescent="0.2">
      <c r="E56" s="1"/>
    </row>
    <row r="57" spans="1:13" x14ac:dyDescent="0.2">
      <c r="A57" s="8" t="s">
        <v>163</v>
      </c>
      <c r="B57" s="8" t="s">
        <v>15</v>
      </c>
      <c r="C57" s="8"/>
      <c r="D57" s="8"/>
      <c r="L57" s="10"/>
      <c r="M57" s="10"/>
    </row>
    <row r="58" spans="1:13" x14ac:dyDescent="0.2">
      <c r="L58" s="81"/>
      <c r="M58" s="10"/>
    </row>
    <row r="59" spans="1:13" x14ac:dyDescent="0.2">
      <c r="J59" s="76"/>
      <c r="K59" s="5" t="s">
        <v>17</v>
      </c>
      <c r="L59" s="52">
        <f>L52</f>
        <v>2.866175857907732E-2</v>
      </c>
      <c r="M59" s="10"/>
    </row>
    <row r="60" spans="1:13" x14ac:dyDescent="0.2">
      <c r="M60" s="10"/>
    </row>
    <row r="61" spans="1:13" x14ac:dyDescent="0.2">
      <c r="F61" s="5" t="s">
        <v>165</v>
      </c>
      <c r="G61" s="80">
        <v>0</v>
      </c>
      <c r="H61" s="91" t="s">
        <v>35</v>
      </c>
      <c r="M61" s="10"/>
    </row>
    <row r="62" spans="1:13" x14ac:dyDescent="0.2">
      <c r="F62" s="5" t="s">
        <v>162</v>
      </c>
      <c r="G62" s="79">
        <f>SUM(L62/L59)</f>
        <v>-1</v>
      </c>
      <c r="J62" s="76"/>
      <c r="K62" s="5" t="s">
        <v>18</v>
      </c>
      <c r="L62" s="52">
        <f>SUM(G61-L59)</f>
        <v>-2.866175857907732E-2</v>
      </c>
    </row>
    <row r="63" spans="1:13" x14ac:dyDescent="0.2">
      <c r="L63" s="10"/>
    </row>
    <row r="64" spans="1:13" x14ac:dyDescent="0.2">
      <c r="A64" s="8" t="s">
        <v>164</v>
      </c>
      <c r="B64" s="8" t="s">
        <v>158</v>
      </c>
      <c r="C64" s="8"/>
      <c r="D64" s="8"/>
      <c r="L64" s="10"/>
    </row>
    <row r="65" spans="6:12" x14ac:dyDescent="0.2">
      <c r="L65" s="10"/>
    </row>
    <row r="66" spans="6:12" x14ac:dyDescent="0.2">
      <c r="F66" s="5" t="s">
        <v>18</v>
      </c>
      <c r="G66" s="77">
        <f>L62</f>
        <v>-2.866175857907732E-2</v>
      </c>
      <c r="L66" s="10"/>
    </row>
    <row r="67" spans="6:12" x14ac:dyDescent="0.2">
      <c r="F67" s="5" t="s">
        <v>159</v>
      </c>
      <c r="G67" s="74">
        <f>G8</f>
        <v>1</v>
      </c>
      <c r="L67" s="10"/>
    </row>
    <row r="68" spans="6:12" x14ac:dyDescent="0.2">
      <c r="L68" s="10"/>
    </row>
    <row r="69" spans="6:12" x14ac:dyDescent="0.2">
      <c r="F69" s="5" t="s">
        <v>160</v>
      </c>
      <c r="G69" s="78">
        <f>SUM(G67*G66)</f>
        <v>-2.866175857907732E-2</v>
      </c>
    </row>
  </sheetData>
  <phoneticPr fontId="0" type="noConversion"/>
  <pageMargins left="0.75" right="0.75" top="1" bottom="1" header="0.5" footer="0.5"/>
  <pageSetup orientation="landscape" horizontalDpi="360" verticalDpi="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A9ED9-0EBA-4E01-A797-1EF1946C236D}">
  <sheetPr codeName="Sheet18"/>
  <dimension ref="A2:O69"/>
  <sheetViews>
    <sheetView topLeftCell="C1" workbookViewId="0">
      <selection activeCell="N3" sqref="N3:O3"/>
    </sheetView>
  </sheetViews>
  <sheetFormatPr defaultColWidth="8.85546875" defaultRowHeight="12.75" x14ac:dyDescent="0.2"/>
  <cols>
    <col min="1" max="1" width="8.85546875" customWidth="1"/>
    <col min="2" max="2" width="9.7109375" customWidth="1"/>
    <col min="3" max="5" width="8.85546875" customWidth="1"/>
    <col min="6" max="6" width="10.42578125" customWidth="1"/>
    <col min="7" max="7" width="10.28515625" bestFit="1" customWidth="1"/>
    <col min="8" max="10" width="8.85546875" customWidth="1"/>
    <col min="11" max="11" width="16.140625" customWidth="1"/>
    <col min="12" max="12" width="11.42578125" customWidth="1"/>
  </cols>
  <sheetData>
    <row r="2" spans="1:15" x14ac:dyDescent="0.2">
      <c r="A2" s="11" t="s">
        <v>9</v>
      </c>
      <c r="B2" s="11"/>
      <c r="C2" s="3" t="str">
        <f>'Total Course Profit'!B22</f>
        <v xml:space="preserve"> </v>
      </c>
      <c r="D2" s="3"/>
    </row>
    <row r="3" spans="1:15" x14ac:dyDescent="0.2">
      <c r="B3" s="86"/>
      <c r="C3" s="10"/>
      <c r="D3" s="10"/>
      <c r="E3" s="1"/>
      <c r="I3" s="5"/>
      <c r="J3" s="23"/>
      <c r="N3" s="49"/>
      <c r="O3" s="49"/>
    </row>
    <row r="4" spans="1:15" x14ac:dyDescent="0.2">
      <c r="E4" s="1"/>
      <c r="I4" s="5"/>
      <c r="J4" s="23"/>
    </row>
    <row r="5" spans="1:15" x14ac:dyDescent="0.2">
      <c r="A5" s="8" t="s">
        <v>99</v>
      </c>
      <c r="B5" s="8" t="s">
        <v>70</v>
      </c>
      <c r="C5" s="8"/>
      <c r="D5" s="8"/>
      <c r="E5" s="24"/>
      <c r="I5" s="5"/>
      <c r="J5" s="23"/>
    </row>
    <row r="6" spans="1:15" x14ac:dyDescent="0.2">
      <c r="A6" s="8"/>
      <c r="B6" s="8"/>
      <c r="C6" s="8"/>
      <c r="D6" s="8"/>
      <c r="E6" s="24"/>
      <c r="I6" s="5"/>
      <c r="J6" s="23"/>
    </row>
    <row r="7" spans="1:15" x14ac:dyDescent="0.2">
      <c r="A7" s="25" t="s">
        <v>106</v>
      </c>
      <c r="B7" s="4"/>
      <c r="C7" s="4"/>
      <c r="E7" s="24"/>
      <c r="G7" s="26" t="s">
        <v>10</v>
      </c>
      <c r="I7" s="5"/>
      <c r="J7" s="23"/>
      <c r="K7" s="5" t="s">
        <v>52</v>
      </c>
      <c r="L7" s="3">
        <f>'Data Entry'!G21</f>
        <v>371</v>
      </c>
    </row>
    <row r="8" spans="1:15" x14ac:dyDescent="0.2">
      <c r="A8" s="27" t="s">
        <v>71</v>
      </c>
      <c r="B8" s="25"/>
      <c r="C8" s="25"/>
      <c r="E8" s="24"/>
      <c r="G8" s="50">
        <v>1</v>
      </c>
      <c r="I8" s="5"/>
      <c r="J8" s="23"/>
    </row>
    <row r="9" spans="1:15" x14ac:dyDescent="0.2">
      <c r="A9" s="27" t="s">
        <v>72</v>
      </c>
      <c r="B9" s="25"/>
      <c r="C9" s="25"/>
      <c r="E9" s="1"/>
      <c r="G9" s="28">
        <v>1</v>
      </c>
      <c r="K9" s="5"/>
      <c r="L9" s="23"/>
    </row>
    <row r="10" spans="1:15" x14ac:dyDescent="0.2">
      <c r="A10" s="27"/>
      <c r="B10" s="25"/>
      <c r="C10" s="25"/>
      <c r="D10" s="29"/>
      <c r="E10" s="1"/>
      <c r="K10" s="5"/>
      <c r="L10" s="23"/>
    </row>
    <row r="11" spans="1:15" x14ac:dyDescent="0.2">
      <c r="A11" s="8" t="s">
        <v>100</v>
      </c>
      <c r="B11" s="8" t="s">
        <v>74</v>
      </c>
      <c r="C11" s="4"/>
      <c r="D11" s="4"/>
      <c r="E11" s="9"/>
    </row>
    <row r="12" spans="1:15" x14ac:dyDescent="0.2">
      <c r="A12" s="11"/>
      <c r="B12" s="11"/>
      <c r="E12" s="1"/>
    </row>
    <row r="13" spans="1:15" x14ac:dyDescent="0.2">
      <c r="A13" s="11" t="s">
        <v>55</v>
      </c>
      <c r="E13" s="1"/>
      <c r="G13" s="5" t="s">
        <v>56</v>
      </c>
    </row>
    <row r="14" spans="1:15" x14ac:dyDescent="0.2">
      <c r="A14" t="s">
        <v>75</v>
      </c>
      <c r="E14" s="1"/>
      <c r="G14" s="30">
        <v>0</v>
      </c>
      <c r="I14" t="s">
        <v>76</v>
      </c>
      <c r="L14" s="31">
        <f t="shared" ref="L14:L23" si="0">G14</f>
        <v>0</v>
      </c>
    </row>
    <row r="15" spans="1:15" x14ac:dyDescent="0.2">
      <c r="A15" t="s">
        <v>77</v>
      </c>
      <c r="E15" s="1"/>
      <c r="G15" s="30">
        <v>0</v>
      </c>
      <c r="I15" t="s">
        <v>76</v>
      </c>
      <c r="L15" s="31">
        <f t="shared" si="0"/>
        <v>0</v>
      </c>
    </row>
    <row r="16" spans="1:15" x14ac:dyDescent="0.2">
      <c r="A16" t="s">
        <v>78</v>
      </c>
      <c r="E16" s="1"/>
      <c r="G16" s="32">
        <v>0</v>
      </c>
      <c r="I16" t="s">
        <v>76</v>
      </c>
      <c r="L16" s="31">
        <f t="shared" si="0"/>
        <v>0</v>
      </c>
    </row>
    <row r="17" spans="1:12" x14ac:dyDescent="0.2">
      <c r="A17" t="s">
        <v>79</v>
      </c>
      <c r="E17" s="1"/>
      <c r="G17" s="30">
        <v>0</v>
      </c>
      <c r="I17" t="s">
        <v>76</v>
      </c>
      <c r="L17" s="31">
        <f t="shared" si="0"/>
        <v>0</v>
      </c>
    </row>
    <row r="18" spans="1:12" x14ac:dyDescent="0.2">
      <c r="A18" t="s">
        <v>80</v>
      </c>
      <c r="E18" s="1"/>
      <c r="G18" s="30">
        <v>0</v>
      </c>
      <c r="I18" t="s">
        <v>76</v>
      </c>
      <c r="L18" s="31">
        <f t="shared" si="0"/>
        <v>0</v>
      </c>
    </row>
    <row r="19" spans="1:12" x14ac:dyDescent="0.2">
      <c r="A19" t="s">
        <v>81</v>
      </c>
      <c r="E19" s="1"/>
      <c r="G19" s="30">
        <v>0</v>
      </c>
      <c r="I19" t="s">
        <v>76</v>
      </c>
      <c r="L19" s="31">
        <f t="shared" si="0"/>
        <v>0</v>
      </c>
    </row>
    <row r="20" spans="1:12" x14ac:dyDescent="0.2">
      <c r="A20" t="s">
        <v>82</v>
      </c>
      <c r="E20" s="1"/>
      <c r="G20" s="30">
        <v>0</v>
      </c>
      <c r="I20" t="s">
        <v>76</v>
      </c>
      <c r="L20" s="31">
        <f t="shared" si="0"/>
        <v>0</v>
      </c>
    </row>
    <row r="21" spans="1:12" x14ac:dyDescent="0.2">
      <c r="A21" s="13" t="s">
        <v>60</v>
      </c>
      <c r="E21" s="1"/>
      <c r="G21" s="30">
        <v>0</v>
      </c>
      <c r="I21" t="s">
        <v>76</v>
      </c>
      <c r="L21" s="31">
        <f t="shared" si="0"/>
        <v>0</v>
      </c>
    </row>
    <row r="22" spans="1:12" x14ac:dyDescent="0.2">
      <c r="A22" s="13" t="s">
        <v>60</v>
      </c>
      <c r="E22" s="1"/>
      <c r="G22" s="30">
        <v>0</v>
      </c>
      <c r="I22" t="s">
        <v>76</v>
      </c>
      <c r="L22" s="31">
        <f t="shared" si="0"/>
        <v>0</v>
      </c>
    </row>
    <row r="23" spans="1:12" x14ac:dyDescent="0.2">
      <c r="A23" s="13" t="s">
        <v>60</v>
      </c>
      <c r="E23" s="1"/>
      <c r="G23" s="30">
        <v>0</v>
      </c>
      <c r="I23" t="s">
        <v>76</v>
      </c>
      <c r="L23" s="31">
        <f t="shared" si="0"/>
        <v>0</v>
      </c>
    </row>
    <row r="24" spans="1:12" x14ac:dyDescent="0.2">
      <c r="E24" s="1"/>
      <c r="G24" s="1"/>
      <c r="K24" s="5" t="s">
        <v>83</v>
      </c>
      <c r="L24" s="33">
        <f>SUM(L14:L23)</f>
        <v>0</v>
      </c>
    </row>
    <row r="25" spans="1:12" x14ac:dyDescent="0.2">
      <c r="A25" s="11"/>
      <c r="B25" s="11"/>
      <c r="E25" s="1"/>
      <c r="L25" s="1"/>
    </row>
    <row r="26" spans="1:12" x14ac:dyDescent="0.2">
      <c r="A26" s="11" t="s">
        <v>55</v>
      </c>
      <c r="E26" s="1"/>
      <c r="G26" s="5" t="s">
        <v>56</v>
      </c>
    </row>
    <row r="27" spans="1:12" x14ac:dyDescent="0.2">
      <c r="A27" t="s">
        <v>84</v>
      </c>
      <c r="E27" s="1"/>
      <c r="G27" s="30">
        <v>0</v>
      </c>
      <c r="I27" t="s">
        <v>85</v>
      </c>
      <c r="L27" s="31">
        <f>G27/$G$9</f>
        <v>0</v>
      </c>
    </row>
    <row r="28" spans="1:12" x14ac:dyDescent="0.2">
      <c r="A28" t="s">
        <v>86</v>
      </c>
      <c r="D28" s="34"/>
      <c r="E28" s="35"/>
      <c r="G28" s="30">
        <v>0</v>
      </c>
      <c r="I28" t="s">
        <v>85</v>
      </c>
      <c r="L28" s="31">
        <f>G28/$G$9</f>
        <v>0</v>
      </c>
    </row>
    <row r="29" spans="1:12" x14ac:dyDescent="0.2">
      <c r="A29" t="s">
        <v>87</v>
      </c>
      <c r="E29" s="36" t="s">
        <v>88</v>
      </c>
    </row>
    <row r="30" spans="1:12" x14ac:dyDescent="0.2">
      <c r="D30" t="s">
        <v>173</v>
      </c>
      <c r="E30" s="19">
        <v>0</v>
      </c>
      <c r="G30" s="30">
        <v>0</v>
      </c>
      <c r="I30" t="s">
        <v>89</v>
      </c>
      <c r="L30" s="31">
        <f>SUM(E30*G30)</f>
        <v>0</v>
      </c>
    </row>
    <row r="31" spans="1:12" x14ac:dyDescent="0.2">
      <c r="A31" t="s">
        <v>50</v>
      </c>
      <c r="D31" s="37" t="s">
        <v>90</v>
      </c>
      <c r="E31" s="37" t="s">
        <v>91</v>
      </c>
      <c r="G31" s="38"/>
      <c r="H31" s="10"/>
      <c r="I31" s="10"/>
      <c r="J31" s="10"/>
      <c r="K31" s="10"/>
      <c r="L31" s="39"/>
    </row>
    <row r="32" spans="1:12" x14ac:dyDescent="0.2">
      <c r="B32" t="s">
        <v>92</v>
      </c>
      <c r="D32" s="19">
        <v>0</v>
      </c>
      <c r="E32" s="19">
        <v>0</v>
      </c>
      <c r="G32" s="40">
        <f>SUM(D32+E32)*G9</f>
        <v>0</v>
      </c>
      <c r="I32" t="s">
        <v>85</v>
      </c>
      <c r="L32" s="41">
        <f>SUM(G32/G9)</f>
        <v>0</v>
      </c>
    </row>
    <row r="33" spans="1:12" x14ac:dyDescent="0.2">
      <c r="A33" t="s">
        <v>93</v>
      </c>
      <c r="E33" s="1"/>
      <c r="G33" s="30">
        <v>0</v>
      </c>
      <c r="I33" t="s">
        <v>85</v>
      </c>
      <c r="L33" s="31">
        <f>G33/$G$9</f>
        <v>0</v>
      </c>
    </row>
    <row r="34" spans="1:12" x14ac:dyDescent="0.2">
      <c r="A34" t="s">
        <v>94</v>
      </c>
      <c r="E34" s="1"/>
      <c r="G34" s="30">
        <v>0</v>
      </c>
      <c r="I34" t="s">
        <v>85</v>
      </c>
      <c r="L34" s="31">
        <f>G34/$G$9</f>
        <v>0</v>
      </c>
    </row>
    <row r="35" spans="1:12" x14ac:dyDescent="0.2">
      <c r="A35" t="s">
        <v>95</v>
      </c>
      <c r="E35" s="1"/>
      <c r="G35" s="30">
        <v>0</v>
      </c>
      <c r="I35" t="s">
        <v>85</v>
      </c>
      <c r="L35" s="31">
        <f>G35/$G$9</f>
        <v>0</v>
      </c>
    </row>
    <row r="36" spans="1:12" x14ac:dyDescent="0.2">
      <c r="A36" t="s">
        <v>96</v>
      </c>
      <c r="E36" s="1"/>
      <c r="G36" s="30">
        <v>0</v>
      </c>
      <c r="I36" t="s">
        <v>85</v>
      </c>
      <c r="L36" s="31">
        <f>G36/$G$9</f>
        <v>0</v>
      </c>
    </row>
    <row r="37" spans="1:12" x14ac:dyDescent="0.2">
      <c r="A37" t="s">
        <v>97</v>
      </c>
      <c r="E37" s="37" t="s">
        <v>98</v>
      </c>
    </row>
    <row r="38" spans="1:12" x14ac:dyDescent="0.2">
      <c r="E38" s="19">
        <v>1</v>
      </c>
      <c r="G38" s="42">
        <v>0</v>
      </c>
      <c r="I38" t="s">
        <v>85</v>
      </c>
      <c r="L38" s="40">
        <f>SUM(G38/E38)/G9</f>
        <v>0</v>
      </c>
    </row>
    <row r="39" spans="1:12" x14ac:dyDescent="0.2">
      <c r="A39" s="13" t="s">
        <v>60</v>
      </c>
      <c r="E39" s="1"/>
      <c r="G39" s="30">
        <v>0</v>
      </c>
      <c r="I39" t="s">
        <v>85</v>
      </c>
      <c r="L39" s="31">
        <f>G39/$G$9</f>
        <v>0</v>
      </c>
    </row>
    <row r="40" spans="1:12" x14ac:dyDescent="0.2">
      <c r="A40" s="13" t="s">
        <v>60</v>
      </c>
      <c r="E40" s="1"/>
      <c r="G40" s="30">
        <v>0</v>
      </c>
      <c r="I40" t="s">
        <v>85</v>
      </c>
      <c r="L40" s="31">
        <f>G40/$G$9</f>
        <v>0</v>
      </c>
    </row>
    <row r="41" spans="1:12" x14ac:dyDescent="0.2">
      <c r="A41" s="13" t="s">
        <v>60</v>
      </c>
      <c r="E41" s="1"/>
      <c r="G41" s="30">
        <v>0</v>
      </c>
      <c r="I41" t="s">
        <v>85</v>
      </c>
      <c r="L41" s="31">
        <f>G41/$G$9</f>
        <v>0</v>
      </c>
    </row>
    <row r="42" spans="1:12" x14ac:dyDescent="0.2">
      <c r="E42" s="1"/>
      <c r="G42" s="1"/>
      <c r="I42" s="5" t="s">
        <v>83</v>
      </c>
      <c r="L42" s="33">
        <f>SUM(L27:L41)</f>
        <v>0</v>
      </c>
    </row>
    <row r="43" spans="1:12" x14ac:dyDescent="0.2">
      <c r="E43" s="1"/>
      <c r="L43" s="43"/>
    </row>
    <row r="44" spans="1:12" x14ac:dyDescent="0.2">
      <c r="E44" s="1"/>
      <c r="G44" s="1"/>
      <c r="J44" s="5" t="s">
        <v>44</v>
      </c>
      <c r="L44" s="33">
        <f>L24+L42</f>
        <v>0</v>
      </c>
    </row>
    <row r="45" spans="1:12" x14ac:dyDescent="0.2">
      <c r="E45" s="1"/>
    </row>
    <row r="46" spans="1:12" x14ac:dyDescent="0.2">
      <c r="E46" s="1"/>
    </row>
    <row r="47" spans="1:12" x14ac:dyDescent="0.2">
      <c r="A47" s="44" t="s">
        <v>14</v>
      </c>
      <c r="B47" s="8" t="s">
        <v>16</v>
      </c>
      <c r="C47" s="4"/>
      <c r="E47" s="1"/>
      <c r="G47" s="45">
        <v>0.25</v>
      </c>
    </row>
    <row r="48" spans="1:12" x14ac:dyDescent="0.2">
      <c r="E48" s="1"/>
    </row>
    <row r="49" spans="1:13" x14ac:dyDescent="0.2">
      <c r="A49" s="8" t="s">
        <v>157</v>
      </c>
      <c r="B49" s="8" t="s">
        <v>101</v>
      </c>
      <c r="C49" s="8"/>
      <c r="D49" s="8"/>
      <c r="E49" s="24"/>
      <c r="F49" s="11"/>
      <c r="G49" s="11"/>
    </row>
    <row r="50" spans="1:13" x14ac:dyDescent="0.2">
      <c r="E50" s="1"/>
      <c r="K50" s="11" t="s">
        <v>39</v>
      </c>
      <c r="L50" s="33">
        <f>' Fixed Expenses'!L66</f>
        <v>10.633512432837685</v>
      </c>
    </row>
    <row r="51" spans="1:13" x14ac:dyDescent="0.2">
      <c r="E51" s="1"/>
    </row>
    <row r="52" spans="1:13" x14ac:dyDescent="0.2">
      <c r="C52" s="5" t="s">
        <v>42</v>
      </c>
      <c r="D52" s="33">
        <f>SUM(L50*H53)</f>
        <v>2.866175857907732E-2</v>
      </c>
      <c r="E52" s="1"/>
      <c r="K52" s="5" t="s">
        <v>102</v>
      </c>
      <c r="L52" s="33">
        <f>D54</f>
        <v>2.866175857907732E-2</v>
      </c>
    </row>
    <row r="53" spans="1:13" x14ac:dyDescent="0.2">
      <c r="C53" s="5" t="s">
        <v>43</v>
      </c>
      <c r="D53" s="33">
        <f>L44</f>
        <v>0</v>
      </c>
      <c r="E53" s="8" t="s">
        <v>103</v>
      </c>
      <c r="H53" s="46">
        <f>SUM(G8/' Fixed Expenses'!L3)</f>
        <v>2.6954177897574125E-3</v>
      </c>
      <c r="K53" s="5" t="s">
        <v>104</v>
      </c>
      <c r="L53" s="33">
        <f>L52*G47</f>
        <v>7.16543964476933E-3</v>
      </c>
    </row>
    <row r="54" spans="1:13" x14ac:dyDescent="0.2">
      <c r="C54" s="5" t="s">
        <v>102</v>
      </c>
      <c r="D54" s="33">
        <f>D52+D53</f>
        <v>2.866175857907732E-2</v>
      </c>
      <c r="E54" s="1"/>
      <c r="K54" s="5" t="s">
        <v>105</v>
      </c>
      <c r="L54" s="33">
        <f>L52+L53</f>
        <v>3.5827198223846647E-2</v>
      </c>
    </row>
    <row r="55" spans="1:13" x14ac:dyDescent="0.2">
      <c r="E55" s="1"/>
    </row>
    <row r="56" spans="1:13" x14ac:dyDescent="0.2">
      <c r="E56" s="1"/>
    </row>
    <row r="57" spans="1:13" x14ac:dyDescent="0.2">
      <c r="A57" s="8" t="s">
        <v>163</v>
      </c>
      <c r="B57" s="8" t="s">
        <v>15</v>
      </c>
      <c r="C57" s="8"/>
      <c r="D57" s="8"/>
      <c r="L57" s="10"/>
      <c r="M57" s="10"/>
    </row>
    <row r="58" spans="1:13" x14ac:dyDescent="0.2">
      <c r="L58" s="81"/>
      <c r="M58" s="10"/>
    </row>
    <row r="59" spans="1:13" x14ac:dyDescent="0.2">
      <c r="J59" s="76"/>
      <c r="K59" s="5" t="s">
        <v>17</v>
      </c>
      <c r="L59" s="52">
        <f>L52</f>
        <v>2.866175857907732E-2</v>
      </c>
      <c r="M59" s="10"/>
    </row>
    <row r="60" spans="1:13" x14ac:dyDescent="0.2">
      <c r="M60" s="10"/>
    </row>
    <row r="61" spans="1:13" x14ac:dyDescent="0.2">
      <c r="F61" s="5" t="s">
        <v>165</v>
      </c>
      <c r="G61" s="80">
        <v>0</v>
      </c>
      <c r="H61" s="91" t="s">
        <v>35</v>
      </c>
      <c r="M61" s="10"/>
    </row>
    <row r="62" spans="1:13" x14ac:dyDescent="0.2">
      <c r="F62" s="5" t="s">
        <v>162</v>
      </c>
      <c r="G62" s="79">
        <f>SUM(L62/L59)</f>
        <v>-1</v>
      </c>
      <c r="J62" s="76"/>
      <c r="K62" s="5" t="s">
        <v>18</v>
      </c>
      <c r="L62" s="52">
        <f>SUM(G61-L59)</f>
        <v>-2.866175857907732E-2</v>
      </c>
    </row>
    <row r="63" spans="1:13" x14ac:dyDescent="0.2">
      <c r="L63" s="10"/>
    </row>
    <row r="64" spans="1:13" x14ac:dyDescent="0.2">
      <c r="A64" s="8" t="s">
        <v>164</v>
      </c>
      <c r="B64" s="8" t="s">
        <v>158</v>
      </c>
      <c r="C64" s="8"/>
      <c r="D64" s="8"/>
      <c r="L64" s="10"/>
    </row>
    <row r="65" spans="6:12" x14ac:dyDescent="0.2">
      <c r="L65" s="10"/>
    </row>
    <row r="66" spans="6:12" x14ac:dyDescent="0.2">
      <c r="F66" s="5" t="s">
        <v>18</v>
      </c>
      <c r="G66" s="77">
        <f>L62</f>
        <v>-2.866175857907732E-2</v>
      </c>
      <c r="L66" s="10"/>
    </row>
    <row r="67" spans="6:12" x14ac:dyDescent="0.2">
      <c r="F67" s="5" t="s">
        <v>159</v>
      </c>
      <c r="G67" s="74">
        <f>G8</f>
        <v>1</v>
      </c>
      <c r="L67" s="10"/>
    </row>
    <row r="68" spans="6:12" x14ac:dyDescent="0.2">
      <c r="L68" s="10"/>
    </row>
    <row r="69" spans="6:12" x14ac:dyDescent="0.2">
      <c r="F69" s="5" t="s">
        <v>160</v>
      </c>
      <c r="G69" s="78">
        <f>SUM(G67*G66)</f>
        <v>-2.866175857907732E-2</v>
      </c>
    </row>
  </sheetData>
  <phoneticPr fontId="0" type="noConversion"/>
  <pageMargins left="0.75" right="0.75" top="1" bottom="1" header="0.5" footer="0.5"/>
  <pageSetup orientation="landscape" horizontalDpi="360" verticalDpi="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BF230-0598-422B-9108-4F3C3332FCF9}">
  <sheetPr codeName="Sheet19"/>
  <dimension ref="A2:O69"/>
  <sheetViews>
    <sheetView workbookViewId="0">
      <selection activeCell="N3" sqref="N3:O3"/>
    </sheetView>
  </sheetViews>
  <sheetFormatPr defaultColWidth="8.85546875" defaultRowHeight="12.75" x14ac:dyDescent="0.2"/>
  <cols>
    <col min="1" max="1" width="8.85546875" customWidth="1"/>
    <col min="2" max="2" width="9.42578125" customWidth="1"/>
    <col min="3" max="5" width="8.85546875" customWidth="1"/>
    <col min="6" max="6" width="10.42578125" customWidth="1"/>
    <col min="7" max="7" width="10.28515625" bestFit="1" customWidth="1"/>
    <col min="8" max="10" width="8.85546875" customWidth="1"/>
    <col min="11" max="11" width="16.140625" customWidth="1"/>
    <col min="12" max="12" width="11.42578125" customWidth="1"/>
  </cols>
  <sheetData>
    <row r="2" spans="1:15" x14ac:dyDescent="0.2">
      <c r="A2" s="11" t="s">
        <v>9</v>
      </c>
      <c r="B2" s="11"/>
      <c r="C2" s="3" t="str">
        <f>'Total Course Profit'!B23</f>
        <v xml:space="preserve"> </v>
      </c>
      <c r="D2" s="3"/>
    </row>
    <row r="3" spans="1:15" x14ac:dyDescent="0.2">
      <c r="B3" s="86"/>
      <c r="C3" s="10"/>
      <c r="D3" s="10"/>
      <c r="E3" s="1"/>
      <c r="I3" s="5"/>
      <c r="J3" s="23"/>
      <c r="N3" s="49"/>
      <c r="O3" s="49"/>
    </row>
    <row r="4" spans="1:15" x14ac:dyDescent="0.2">
      <c r="E4" s="1"/>
      <c r="I4" s="5"/>
      <c r="J4" s="23"/>
    </row>
    <row r="5" spans="1:15" x14ac:dyDescent="0.2">
      <c r="A5" s="8" t="s">
        <v>99</v>
      </c>
      <c r="B5" s="8" t="s">
        <v>70</v>
      </c>
      <c r="C5" s="8"/>
      <c r="D5" s="8"/>
      <c r="E5" s="24"/>
      <c r="I5" s="5"/>
      <c r="J5" s="23"/>
    </row>
    <row r="6" spans="1:15" x14ac:dyDescent="0.2">
      <c r="A6" s="8"/>
      <c r="B6" s="8"/>
      <c r="C6" s="8"/>
      <c r="D6" s="8"/>
      <c r="E6" s="24"/>
      <c r="I6" s="5"/>
      <c r="J6" s="23"/>
    </row>
    <row r="7" spans="1:15" x14ac:dyDescent="0.2">
      <c r="A7" s="25" t="s">
        <v>106</v>
      </c>
      <c r="B7" s="4"/>
      <c r="C7" s="4"/>
      <c r="E7" s="24"/>
      <c r="G7" s="26" t="s">
        <v>10</v>
      </c>
      <c r="I7" s="5"/>
      <c r="J7" s="23"/>
      <c r="K7" s="5" t="s">
        <v>52</v>
      </c>
      <c r="L7" s="3">
        <f>'Data Entry'!G21</f>
        <v>371</v>
      </c>
    </row>
    <row r="8" spans="1:15" x14ac:dyDescent="0.2">
      <c r="A8" s="27" t="s">
        <v>71</v>
      </c>
      <c r="B8" s="25"/>
      <c r="C8" s="25"/>
      <c r="E8" s="24"/>
      <c r="G8" s="50">
        <v>1</v>
      </c>
      <c r="I8" s="5"/>
      <c r="J8" s="23"/>
    </row>
    <row r="9" spans="1:15" x14ac:dyDescent="0.2">
      <c r="A9" s="27" t="s">
        <v>72</v>
      </c>
      <c r="B9" s="25"/>
      <c r="C9" s="25"/>
      <c r="E9" s="1"/>
      <c r="G9" s="28">
        <v>1</v>
      </c>
      <c r="K9" s="5"/>
      <c r="L9" s="23"/>
    </row>
    <row r="10" spans="1:15" x14ac:dyDescent="0.2">
      <c r="A10" s="27"/>
      <c r="B10" s="25"/>
      <c r="C10" s="25"/>
      <c r="D10" s="29"/>
      <c r="E10" s="1"/>
      <c r="K10" s="5"/>
      <c r="L10" s="23"/>
    </row>
    <row r="11" spans="1:15" x14ac:dyDescent="0.2">
      <c r="A11" s="8" t="s">
        <v>100</v>
      </c>
      <c r="B11" s="8" t="s">
        <v>74</v>
      </c>
      <c r="C11" s="4"/>
      <c r="D11" s="4"/>
      <c r="E11" s="9"/>
    </row>
    <row r="12" spans="1:15" x14ac:dyDescent="0.2">
      <c r="A12" s="11"/>
      <c r="B12" s="11"/>
      <c r="E12" s="1"/>
    </row>
    <row r="13" spans="1:15" x14ac:dyDescent="0.2">
      <c r="A13" s="11" t="s">
        <v>55</v>
      </c>
      <c r="E13" s="1"/>
      <c r="G13" s="5" t="s">
        <v>56</v>
      </c>
    </row>
    <row r="14" spans="1:15" x14ac:dyDescent="0.2">
      <c r="A14" t="s">
        <v>75</v>
      </c>
      <c r="E14" s="1"/>
      <c r="G14" s="30">
        <v>0</v>
      </c>
      <c r="I14" t="s">
        <v>76</v>
      </c>
      <c r="L14" s="31">
        <f t="shared" ref="L14:L23" si="0">G14</f>
        <v>0</v>
      </c>
    </row>
    <row r="15" spans="1:15" x14ac:dyDescent="0.2">
      <c r="A15" t="s">
        <v>77</v>
      </c>
      <c r="E15" s="1"/>
      <c r="G15" s="30">
        <v>0</v>
      </c>
      <c r="I15" t="s">
        <v>76</v>
      </c>
      <c r="L15" s="31">
        <f t="shared" si="0"/>
        <v>0</v>
      </c>
    </row>
    <row r="16" spans="1:15" x14ac:dyDescent="0.2">
      <c r="A16" t="s">
        <v>78</v>
      </c>
      <c r="E16" s="1"/>
      <c r="G16" s="32">
        <v>0</v>
      </c>
      <c r="I16" t="s">
        <v>76</v>
      </c>
      <c r="L16" s="31">
        <f t="shared" si="0"/>
        <v>0</v>
      </c>
    </row>
    <row r="17" spans="1:12" x14ac:dyDescent="0.2">
      <c r="A17" t="s">
        <v>79</v>
      </c>
      <c r="E17" s="1"/>
      <c r="G17" s="30">
        <v>0</v>
      </c>
      <c r="I17" t="s">
        <v>76</v>
      </c>
      <c r="L17" s="31">
        <f t="shared" si="0"/>
        <v>0</v>
      </c>
    </row>
    <row r="18" spans="1:12" x14ac:dyDescent="0.2">
      <c r="A18" t="s">
        <v>80</v>
      </c>
      <c r="E18" s="1"/>
      <c r="G18" s="30">
        <v>0</v>
      </c>
      <c r="I18" t="s">
        <v>76</v>
      </c>
      <c r="L18" s="31">
        <f t="shared" si="0"/>
        <v>0</v>
      </c>
    </row>
    <row r="19" spans="1:12" x14ac:dyDescent="0.2">
      <c r="A19" t="s">
        <v>81</v>
      </c>
      <c r="E19" s="1"/>
      <c r="G19" s="30">
        <v>0</v>
      </c>
      <c r="I19" t="s">
        <v>76</v>
      </c>
      <c r="L19" s="31">
        <f t="shared" si="0"/>
        <v>0</v>
      </c>
    </row>
    <row r="20" spans="1:12" x14ac:dyDescent="0.2">
      <c r="A20" t="s">
        <v>82</v>
      </c>
      <c r="E20" s="1"/>
      <c r="G20" s="30">
        <v>0</v>
      </c>
      <c r="I20" t="s">
        <v>76</v>
      </c>
      <c r="L20" s="31">
        <f t="shared" si="0"/>
        <v>0</v>
      </c>
    </row>
    <row r="21" spans="1:12" x14ac:dyDescent="0.2">
      <c r="A21" s="13" t="s">
        <v>60</v>
      </c>
      <c r="E21" s="1"/>
      <c r="G21" s="30">
        <v>0</v>
      </c>
      <c r="I21" t="s">
        <v>76</v>
      </c>
      <c r="L21" s="31">
        <f t="shared" si="0"/>
        <v>0</v>
      </c>
    </row>
    <row r="22" spans="1:12" x14ac:dyDescent="0.2">
      <c r="A22" s="13" t="s">
        <v>60</v>
      </c>
      <c r="E22" s="1"/>
      <c r="G22" s="30">
        <v>0</v>
      </c>
      <c r="I22" t="s">
        <v>76</v>
      </c>
      <c r="L22" s="31">
        <f t="shared" si="0"/>
        <v>0</v>
      </c>
    </row>
    <row r="23" spans="1:12" x14ac:dyDescent="0.2">
      <c r="A23" s="13" t="s">
        <v>60</v>
      </c>
      <c r="E23" s="1"/>
      <c r="G23" s="30">
        <v>0</v>
      </c>
      <c r="I23" t="s">
        <v>76</v>
      </c>
      <c r="L23" s="31">
        <f t="shared" si="0"/>
        <v>0</v>
      </c>
    </row>
    <row r="24" spans="1:12" x14ac:dyDescent="0.2">
      <c r="E24" s="1"/>
      <c r="G24" s="1"/>
      <c r="K24" s="5" t="s">
        <v>83</v>
      </c>
      <c r="L24" s="33">
        <f>SUM(L14:L23)</f>
        <v>0</v>
      </c>
    </row>
    <row r="25" spans="1:12" x14ac:dyDescent="0.2">
      <c r="A25" s="11"/>
      <c r="B25" s="11"/>
      <c r="E25" s="1"/>
      <c r="L25" s="1"/>
    </row>
    <row r="26" spans="1:12" x14ac:dyDescent="0.2">
      <c r="A26" s="11" t="s">
        <v>55</v>
      </c>
      <c r="E26" s="1"/>
      <c r="G26" s="5" t="s">
        <v>56</v>
      </c>
    </row>
    <row r="27" spans="1:12" x14ac:dyDescent="0.2">
      <c r="A27" t="s">
        <v>84</v>
      </c>
      <c r="E27" s="1"/>
      <c r="G27" s="30">
        <v>0</v>
      </c>
      <c r="I27" t="s">
        <v>85</v>
      </c>
      <c r="L27" s="31">
        <f>G27/$G$9</f>
        <v>0</v>
      </c>
    </row>
    <row r="28" spans="1:12" x14ac:dyDescent="0.2">
      <c r="A28" t="s">
        <v>86</v>
      </c>
      <c r="D28" s="34"/>
      <c r="E28" s="35"/>
      <c r="G28" s="30">
        <v>0</v>
      </c>
      <c r="I28" t="s">
        <v>85</v>
      </c>
      <c r="L28" s="31">
        <f>G28/$G$9</f>
        <v>0</v>
      </c>
    </row>
    <row r="29" spans="1:12" x14ac:dyDescent="0.2">
      <c r="A29" t="s">
        <v>87</v>
      </c>
      <c r="E29" s="36" t="s">
        <v>88</v>
      </c>
    </row>
    <row r="30" spans="1:12" x14ac:dyDescent="0.2">
      <c r="D30" t="s">
        <v>173</v>
      </c>
      <c r="E30" s="19">
        <v>0</v>
      </c>
      <c r="G30" s="30">
        <v>0</v>
      </c>
      <c r="I30" t="s">
        <v>89</v>
      </c>
      <c r="L30" s="31">
        <f>SUM(E30*G30)</f>
        <v>0</v>
      </c>
    </row>
    <row r="31" spans="1:12" x14ac:dyDescent="0.2">
      <c r="A31" t="s">
        <v>50</v>
      </c>
      <c r="D31" s="37" t="s">
        <v>90</v>
      </c>
      <c r="E31" s="37" t="s">
        <v>91</v>
      </c>
      <c r="G31" s="38"/>
      <c r="H31" s="10"/>
      <c r="I31" s="10"/>
      <c r="J31" s="10"/>
      <c r="K31" s="10"/>
      <c r="L31" s="39"/>
    </row>
    <row r="32" spans="1:12" x14ac:dyDescent="0.2">
      <c r="B32" t="s">
        <v>92</v>
      </c>
      <c r="D32" s="19">
        <v>0</v>
      </c>
      <c r="E32" s="19">
        <v>0</v>
      </c>
      <c r="G32" s="40">
        <f>SUM(D32+E32)*G9</f>
        <v>0</v>
      </c>
      <c r="I32" t="s">
        <v>85</v>
      </c>
      <c r="L32" s="41">
        <f>SUM(G32/G9)</f>
        <v>0</v>
      </c>
    </row>
    <row r="33" spans="1:12" x14ac:dyDescent="0.2">
      <c r="A33" t="s">
        <v>93</v>
      </c>
      <c r="E33" s="1"/>
      <c r="G33" s="30">
        <v>0</v>
      </c>
      <c r="I33" t="s">
        <v>85</v>
      </c>
      <c r="L33" s="31">
        <f>G33/$G$9</f>
        <v>0</v>
      </c>
    </row>
    <row r="34" spans="1:12" x14ac:dyDescent="0.2">
      <c r="A34" t="s">
        <v>94</v>
      </c>
      <c r="E34" s="1"/>
      <c r="G34" s="30">
        <v>0</v>
      </c>
      <c r="I34" t="s">
        <v>85</v>
      </c>
      <c r="L34" s="31">
        <f>G34/$G$9</f>
        <v>0</v>
      </c>
    </row>
    <row r="35" spans="1:12" x14ac:dyDescent="0.2">
      <c r="A35" t="s">
        <v>95</v>
      </c>
      <c r="E35" s="1"/>
      <c r="G35" s="30">
        <v>0</v>
      </c>
      <c r="I35" t="s">
        <v>85</v>
      </c>
      <c r="L35" s="31">
        <f>G35/$G$9</f>
        <v>0</v>
      </c>
    </row>
    <row r="36" spans="1:12" x14ac:dyDescent="0.2">
      <c r="A36" t="s">
        <v>96</v>
      </c>
      <c r="E36" s="1"/>
      <c r="G36" s="30">
        <v>0</v>
      </c>
      <c r="I36" t="s">
        <v>85</v>
      </c>
      <c r="L36" s="31">
        <f>G36/$G$9</f>
        <v>0</v>
      </c>
    </row>
    <row r="37" spans="1:12" x14ac:dyDescent="0.2">
      <c r="A37" t="s">
        <v>97</v>
      </c>
      <c r="E37" s="37" t="s">
        <v>98</v>
      </c>
    </row>
    <row r="38" spans="1:12" x14ac:dyDescent="0.2">
      <c r="E38" s="19">
        <v>1</v>
      </c>
      <c r="G38" s="42">
        <v>0</v>
      </c>
      <c r="I38" t="s">
        <v>85</v>
      </c>
      <c r="L38" s="40">
        <f>SUM(G38/E38)/G9</f>
        <v>0</v>
      </c>
    </row>
    <row r="39" spans="1:12" x14ac:dyDescent="0.2">
      <c r="A39" s="13" t="s">
        <v>60</v>
      </c>
      <c r="E39" s="1"/>
      <c r="G39" s="30">
        <v>0</v>
      </c>
      <c r="I39" t="s">
        <v>85</v>
      </c>
      <c r="L39" s="31">
        <f>G39/$G$9</f>
        <v>0</v>
      </c>
    </row>
    <row r="40" spans="1:12" x14ac:dyDescent="0.2">
      <c r="A40" s="13" t="s">
        <v>60</v>
      </c>
      <c r="E40" s="1"/>
      <c r="G40" s="30">
        <v>0</v>
      </c>
      <c r="I40" t="s">
        <v>85</v>
      </c>
      <c r="L40" s="31">
        <f>G40/$G$9</f>
        <v>0</v>
      </c>
    </row>
    <row r="41" spans="1:12" x14ac:dyDescent="0.2">
      <c r="A41" s="13" t="s">
        <v>60</v>
      </c>
      <c r="E41" s="1"/>
      <c r="G41" s="30">
        <v>0</v>
      </c>
      <c r="I41" t="s">
        <v>85</v>
      </c>
      <c r="L41" s="31">
        <f>G41/$G$9</f>
        <v>0</v>
      </c>
    </row>
    <row r="42" spans="1:12" x14ac:dyDescent="0.2">
      <c r="E42" s="1"/>
      <c r="G42" s="1"/>
      <c r="I42" s="5" t="s">
        <v>83</v>
      </c>
      <c r="L42" s="33">
        <f>SUM(L27:L41)</f>
        <v>0</v>
      </c>
    </row>
    <row r="43" spans="1:12" x14ac:dyDescent="0.2">
      <c r="E43" s="1"/>
      <c r="L43" s="43"/>
    </row>
    <row r="44" spans="1:12" x14ac:dyDescent="0.2">
      <c r="E44" s="1"/>
      <c r="G44" s="1"/>
      <c r="J44" s="5" t="s">
        <v>44</v>
      </c>
      <c r="L44" s="33">
        <f>L24+L42</f>
        <v>0</v>
      </c>
    </row>
    <row r="45" spans="1:12" x14ac:dyDescent="0.2">
      <c r="E45" s="1"/>
    </row>
    <row r="46" spans="1:12" x14ac:dyDescent="0.2">
      <c r="E46" s="1"/>
    </row>
    <row r="47" spans="1:12" x14ac:dyDescent="0.2">
      <c r="A47" s="44" t="s">
        <v>14</v>
      </c>
      <c r="B47" s="8" t="s">
        <v>16</v>
      </c>
      <c r="C47" s="4"/>
      <c r="E47" s="1"/>
      <c r="G47" s="45">
        <v>0.25</v>
      </c>
    </row>
    <row r="48" spans="1:12" x14ac:dyDescent="0.2">
      <c r="E48" s="1"/>
    </row>
    <row r="49" spans="1:13" x14ac:dyDescent="0.2">
      <c r="A49" s="8" t="s">
        <v>157</v>
      </c>
      <c r="B49" s="8" t="s">
        <v>101</v>
      </c>
      <c r="C49" s="8"/>
      <c r="D49" s="8"/>
      <c r="E49" s="24"/>
      <c r="F49" s="11"/>
      <c r="G49" s="11"/>
    </row>
    <row r="50" spans="1:13" x14ac:dyDescent="0.2">
      <c r="E50" s="1"/>
      <c r="K50" s="11" t="s">
        <v>39</v>
      </c>
      <c r="L50" s="33">
        <f>' Fixed Expenses'!L66</f>
        <v>10.633512432837685</v>
      </c>
    </row>
    <row r="51" spans="1:13" x14ac:dyDescent="0.2">
      <c r="E51" s="1"/>
    </row>
    <row r="52" spans="1:13" x14ac:dyDescent="0.2">
      <c r="C52" s="5" t="s">
        <v>42</v>
      </c>
      <c r="D52" s="33">
        <f>SUM(L50*H53)</f>
        <v>2.866175857907732E-2</v>
      </c>
      <c r="E52" s="1"/>
      <c r="K52" s="5" t="s">
        <v>102</v>
      </c>
      <c r="L52" s="33">
        <f>D54</f>
        <v>2.866175857907732E-2</v>
      </c>
    </row>
    <row r="53" spans="1:13" x14ac:dyDescent="0.2">
      <c r="C53" s="5" t="s">
        <v>43</v>
      </c>
      <c r="D53" s="33">
        <f>L44</f>
        <v>0</v>
      </c>
      <c r="E53" s="8" t="s">
        <v>103</v>
      </c>
      <c r="H53" s="46">
        <f>SUM(G8/' Fixed Expenses'!L3)</f>
        <v>2.6954177897574125E-3</v>
      </c>
      <c r="K53" s="5" t="s">
        <v>104</v>
      </c>
      <c r="L53" s="33">
        <f>L52*G47</f>
        <v>7.16543964476933E-3</v>
      </c>
    </row>
    <row r="54" spans="1:13" x14ac:dyDescent="0.2">
      <c r="C54" s="5" t="s">
        <v>102</v>
      </c>
      <c r="D54" s="33">
        <f>D52+D53</f>
        <v>2.866175857907732E-2</v>
      </c>
      <c r="E54" s="1"/>
      <c r="K54" s="5" t="s">
        <v>105</v>
      </c>
      <c r="L54" s="33">
        <f>L52+L53</f>
        <v>3.5827198223846647E-2</v>
      </c>
    </row>
    <row r="55" spans="1:13" x14ac:dyDescent="0.2">
      <c r="E55" s="1"/>
    </row>
    <row r="56" spans="1:13" x14ac:dyDescent="0.2">
      <c r="E56" s="1"/>
    </row>
    <row r="57" spans="1:13" x14ac:dyDescent="0.2">
      <c r="A57" s="8" t="s">
        <v>163</v>
      </c>
      <c r="B57" s="8" t="s">
        <v>15</v>
      </c>
      <c r="C57" s="8"/>
      <c r="D57" s="8"/>
      <c r="L57" s="10"/>
      <c r="M57" s="10"/>
    </row>
    <row r="58" spans="1:13" x14ac:dyDescent="0.2">
      <c r="L58" s="81"/>
      <c r="M58" s="10"/>
    </row>
    <row r="59" spans="1:13" x14ac:dyDescent="0.2">
      <c r="J59" s="76"/>
      <c r="K59" s="5" t="s">
        <v>17</v>
      </c>
      <c r="L59" s="52">
        <f>L52</f>
        <v>2.866175857907732E-2</v>
      </c>
      <c r="M59" s="10"/>
    </row>
    <row r="60" spans="1:13" x14ac:dyDescent="0.2">
      <c r="M60" s="10"/>
    </row>
    <row r="61" spans="1:13" x14ac:dyDescent="0.2">
      <c r="F61" s="5" t="s">
        <v>165</v>
      </c>
      <c r="G61" s="80">
        <v>0</v>
      </c>
      <c r="H61" s="91" t="s">
        <v>35</v>
      </c>
      <c r="M61" s="10"/>
    </row>
    <row r="62" spans="1:13" x14ac:dyDescent="0.2">
      <c r="F62" s="5" t="s">
        <v>162</v>
      </c>
      <c r="G62" s="79">
        <f>SUM(L62/L59)</f>
        <v>-1</v>
      </c>
      <c r="J62" s="76"/>
      <c r="K62" s="5" t="s">
        <v>18</v>
      </c>
      <c r="L62" s="52">
        <f>SUM(G61-L59)</f>
        <v>-2.866175857907732E-2</v>
      </c>
    </row>
    <row r="63" spans="1:13" x14ac:dyDescent="0.2">
      <c r="L63" s="10"/>
    </row>
    <row r="64" spans="1:13" x14ac:dyDescent="0.2">
      <c r="A64" s="8" t="s">
        <v>164</v>
      </c>
      <c r="B64" s="8" t="s">
        <v>158</v>
      </c>
      <c r="C64" s="8"/>
      <c r="D64" s="8"/>
      <c r="L64" s="10"/>
    </row>
    <row r="65" spans="6:12" x14ac:dyDescent="0.2">
      <c r="L65" s="10"/>
    </row>
    <row r="66" spans="6:12" x14ac:dyDescent="0.2">
      <c r="F66" s="5" t="s">
        <v>18</v>
      </c>
      <c r="G66" s="77">
        <f>L62</f>
        <v>-2.866175857907732E-2</v>
      </c>
      <c r="L66" s="10"/>
    </row>
    <row r="67" spans="6:12" x14ac:dyDescent="0.2">
      <c r="F67" s="5" t="s">
        <v>159</v>
      </c>
      <c r="G67" s="74">
        <f>G8</f>
        <v>1</v>
      </c>
      <c r="L67" s="10"/>
    </row>
    <row r="68" spans="6:12" x14ac:dyDescent="0.2">
      <c r="L68" s="10"/>
    </row>
    <row r="69" spans="6:12" x14ac:dyDescent="0.2">
      <c r="F69" s="5" t="s">
        <v>160</v>
      </c>
      <c r="G69" s="78">
        <f>SUM(G67*G66)</f>
        <v>-2.866175857907732E-2</v>
      </c>
    </row>
  </sheetData>
  <phoneticPr fontId="0" type="noConversion"/>
  <pageMargins left="0.75" right="0.75" top="1" bottom="1" header="0.5" footer="0.5"/>
  <pageSetup orientation="landscape" horizontalDpi="360" verticalDpi="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121A2-3D88-4E44-B278-051AEF894448}">
  <sheetPr codeName="Sheet20"/>
  <dimension ref="A2:O69"/>
  <sheetViews>
    <sheetView workbookViewId="0">
      <selection activeCell="O3" sqref="N3:O3"/>
    </sheetView>
  </sheetViews>
  <sheetFormatPr defaultColWidth="8.85546875" defaultRowHeight="12.75" x14ac:dyDescent="0.2"/>
  <cols>
    <col min="1" max="1" width="8.85546875" customWidth="1"/>
    <col min="2" max="2" width="9.42578125" customWidth="1"/>
    <col min="3" max="5" width="8.85546875" customWidth="1"/>
    <col min="6" max="6" width="10.42578125" customWidth="1"/>
    <col min="7" max="7" width="10.28515625" bestFit="1" customWidth="1"/>
    <col min="8" max="10" width="8.85546875" customWidth="1"/>
    <col min="11" max="11" width="16.140625" customWidth="1"/>
    <col min="12" max="12" width="11.42578125" customWidth="1"/>
  </cols>
  <sheetData>
    <row r="2" spans="1:15" x14ac:dyDescent="0.2">
      <c r="A2" s="11" t="s">
        <v>9</v>
      </c>
      <c r="B2" s="11"/>
      <c r="C2" s="3">
        <f>'Total Course Profit'!B24</f>
        <v>0</v>
      </c>
      <c r="D2" s="3"/>
    </row>
    <row r="3" spans="1:15" x14ac:dyDescent="0.2">
      <c r="B3" s="86"/>
      <c r="C3" s="10"/>
      <c r="D3" s="10"/>
      <c r="E3" s="1"/>
      <c r="I3" s="5"/>
      <c r="J3" s="23"/>
      <c r="N3" s="49"/>
      <c r="O3" s="49"/>
    </row>
    <row r="4" spans="1:15" x14ac:dyDescent="0.2">
      <c r="E4" s="1"/>
      <c r="I4" s="5"/>
      <c r="J4" s="23"/>
    </row>
    <row r="5" spans="1:15" x14ac:dyDescent="0.2">
      <c r="A5" s="8" t="s">
        <v>99</v>
      </c>
      <c r="B5" s="8" t="s">
        <v>70</v>
      </c>
      <c r="C5" s="8"/>
      <c r="D5" s="8"/>
      <c r="E5" s="24"/>
      <c r="I5" s="5"/>
      <c r="J5" s="23"/>
    </row>
    <row r="6" spans="1:15" x14ac:dyDescent="0.2">
      <c r="A6" s="8"/>
      <c r="B6" s="8"/>
      <c r="C6" s="8"/>
      <c r="D6" s="8"/>
      <c r="E6" s="24"/>
      <c r="I6" s="5"/>
      <c r="J6" s="23"/>
    </row>
    <row r="7" spans="1:15" x14ac:dyDescent="0.2">
      <c r="A7" s="25" t="s">
        <v>106</v>
      </c>
      <c r="B7" s="4"/>
      <c r="C7" s="4"/>
      <c r="E7" s="24"/>
      <c r="G7" s="26" t="s">
        <v>10</v>
      </c>
      <c r="I7" s="5"/>
      <c r="J7" s="23"/>
      <c r="K7" s="5" t="s">
        <v>52</v>
      </c>
      <c r="L7" s="3">
        <f>'Data Entry'!G21</f>
        <v>371</v>
      </c>
    </row>
    <row r="8" spans="1:15" x14ac:dyDescent="0.2">
      <c r="A8" s="27" t="s">
        <v>71</v>
      </c>
      <c r="B8" s="25"/>
      <c r="C8" s="25"/>
      <c r="E8" s="24"/>
      <c r="G8" s="50">
        <v>1</v>
      </c>
      <c r="I8" s="5"/>
      <c r="J8" s="23"/>
    </row>
    <row r="9" spans="1:15" x14ac:dyDescent="0.2">
      <c r="A9" s="27" t="s">
        <v>72</v>
      </c>
      <c r="B9" s="25"/>
      <c r="C9" s="25"/>
      <c r="E9" s="1"/>
      <c r="G9" s="28">
        <v>1</v>
      </c>
      <c r="K9" s="5"/>
      <c r="L9" s="23"/>
    </row>
    <row r="10" spans="1:15" x14ac:dyDescent="0.2">
      <c r="A10" s="27"/>
      <c r="B10" s="25"/>
      <c r="C10" s="25"/>
      <c r="D10" s="29"/>
      <c r="E10" s="1"/>
      <c r="K10" s="5"/>
      <c r="L10" s="23"/>
    </row>
    <row r="11" spans="1:15" x14ac:dyDescent="0.2">
      <c r="A11" s="8" t="s">
        <v>100</v>
      </c>
      <c r="B11" s="8" t="s">
        <v>74</v>
      </c>
      <c r="C11" s="4"/>
      <c r="D11" s="4"/>
      <c r="E11" s="9"/>
    </row>
    <row r="12" spans="1:15" x14ac:dyDescent="0.2">
      <c r="A12" s="11"/>
      <c r="B12" s="11"/>
      <c r="E12" s="1"/>
    </row>
    <row r="13" spans="1:15" x14ac:dyDescent="0.2">
      <c r="A13" s="11" t="s">
        <v>55</v>
      </c>
      <c r="E13" s="1"/>
      <c r="G13" s="5" t="s">
        <v>56</v>
      </c>
    </row>
    <row r="14" spans="1:15" x14ac:dyDescent="0.2">
      <c r="A14" t="s">
        <v>75</v>
      </c>
      <c r="E14" s="1"/>
      <c r="G14" s="30">
        <v>0</v>
      </c>
      <c r="I14" t="s">
        <v>76</v>
      </c>
      <c r="L14" s="31">
        <f t="shared" ref="L14:L23" si="0">G14</f>
        <v>0</v>
      </c>
    </row>
    <row r="15" spans="1:15" x14ac:dyDescent="0.2">
      <c r="A15" t="s">
        <v>77</v>
      </c>
      <c r="E15" s="1"/>
      <c r="G15" s="30">
        <v>0</v>
      </c>
      <c r="I15" t="s">
        <v>76</v>
      </c>
      <c r="L15" s="31">
        <f t="shared" si="0"/>
        <v>0</v>
      </c>
    </row>
    <row r="16" spans="1:15" x14ac:dyDescent="0.2">
      <c r="A16" t="s">
        <v>78</v>
      </c>
      <c r="E16" s="1"/>
      <c r="G16" s="32">
        <v>0</v>
      </c>
      <c r="I16" t="s">
        <v>76</v>
      </c>
      <c r="L16" s="31">
        <f t="shared" si="0"/>
        <v>0</v>
      </c>
    </row>
    <row r="17" spans="1:12" x14ac:dyDescent="0.2">
      <c r="A17" t="s">
        <v>79</v>
      </c>
      <c r="E17" s="1"/>
      <c r="G17" s="30">
        <v>0</v>
      </c>
      <c r="I17" t="s">
        <v>76</v>
      </c>
      <c r="L17" s="31">
        <f t="shared" si="0"/>
        <v>0</v>
      </c>
    </row>
    <row r="18" spans="1:12" x14ac:dyDescent="0.2">
      <c r="A18" t="s">
        <v>80</v>
      </c>
      <c r="E18" s="1"/>
      <c r="G18" s="30">
        <v>0</v>
      </c>
      <c r="I18" t="s">
        <v>76</v>
      </c>
      <c r="L18" s="31">
        <f t="shared" si="0"/>
        <v>0</v>
      </c>
    </row>
    <row r="19" spans="1:12" x14ac:dyDescent="0.2">
      <c r="A19" t="s">
        <v>81</v>
      </c>
      <c r="E19" s="1"/>
      <c r="G19" s="30">
        <v>0</v>
      </c>
      <c r="I19" t="s">
        <v>76</v>
      </c>
      <c r="L19" s="31">
        <f t="shared" si="0"/>
        <v>0</v>
      </c>
    </row>
    <row r="20" spans="1:12" x14ac:dyDescent="0.2">
      <c r="A20" t="s">
        <v>82</v>
      </c>
      <c r="E20" s="1"/>
      <c r="G20" s="30">
        <v>0</v>
      </c>
      <c r="I20" t="s">
        <v>76</v>
      </c>
      <c r="L20" s="31">
        <f t="shared" si="0"/>
        <v>0</v>
      </c>
    </row>
    <row r="21" spans="1:12" x14ac:dyDescent="0.2">
      <c r="A21" s="13" t="s">
        <v>60</v>
      </c>
      <c r="E21" s="1"/>
      <c r="G21" s="30">
        <v>0</v>
      </c>
      <c r="I21" t="s">
        <v>76</v>
      </c>
      <c r="L21" s="31">
        <f t="shared" si="0"/>
        <v>0</v>
      </c>
    </row>
    <row r="22" spans="1:12" x14ac:dyDescent="0.2">
      <c r="A22" s="13" t="s">
        <v>60</v>
      </c>
      <c r="E22" s="1"/>
      <c r="G22" s="30">
        <v>0</v>
      </c>
      <c r="I22" t="s">
        <v>76</v>
      </c>
      <c r="L22" s="31">
        <f t="shared" si="0"/>
        <v>0</v>
      </c>
    </row>
    <row r="23" spans="1:12" x14ac:dyDescent="0.2">
      <c r="A23" s="13" t="s">
        <v>60</v>
      </c>
      <c r="E23" s="1"/>
      <c r="G23" s="30">
        <v>0</v>
      </c>
      <c r="I23" t="s">
        <v>76</v>
      </c>
      <c r="L23" s="31">
        <f t="shared" si="0"/>
        <v>0</v>
      </c>
    </row>
    <row r="24" spans="1:12" x14ac:dyDescent="0.2">
      <c r="E24" s="1"/>
      <c r="G24" s="1"/>
      <c r="K24" s="5" t="s">
        <v>83</v>
      </c>
      <c r="L24" s="33">
        <f>SUM(L14:L23)</f>
        <v>0</v>
      </c>
    </row>
    <row r="25" spans="1:12" x14ac:dyDescent="0.2">
      <c r="A25" s="11"/>
      <c r="B25" s="11"/>
      <c r="E25" s="1"/>
      <c r="L25" s="1"/>
    </row>
    <row r="26" spans="1:12" x14ac:dyDescent="0.2">
      <c r="A26" s="11" t="s">
        <v>55</v>
      </c>
      <c r="E26" s="1"/>
      <c r="G26" s="5" t="s">
        <v>56</v>
      </c>
    </row>
    <row r="27" spans="1:12" x14ac:dyDescent="0.2">
      <c r="A27" t="s">
        <v>84</v>
      </c>
      <c r="E27" s="1"/>
      <c r="G27" s="30">
        <v>0</v>
      </c>
      <c r="I27" t="s">
        <v>85</v>
      </c>
      <c r="L27" s="31">
        <f>G27/$G$9</f>
        <v>0</v>
      </c>
    </row>
    <row r="28" spans="1:12" x14ac:dyDescent="0.2">
      <c r="A28" t="s">
        <v>86</v>
      </c>
      <c r="D28" s="34"/>
      <c r="E28" s="35"/>
      <c r="G28" s="30">
        <v>0</v>
      </c>
      <c r="I28" t="s">
        <v>85</v>
      </c>
      <c r="L28" s="31">
        <f>G28/$G$9</f>
        <v>0</v>
      </c>
    </row>
    <row r="29" spans="1:12" x14ac:dyDescent="0.2">
      <c r="A29" t="s">
        <v>87</v>
      </c>
      <c r="E29" s="36" t="s">
        <v>88</v>
      </c>
    </row>
    <row r="30" spans="1:12" x14ac:dyDescent="0.2">
      <c r="D30" t="s">
        <v>173</v>
      </c>
      <c r="E30" s="19">
        <v>0</v>
      </c>
      <c r="G30" s="30">
        <v>0</v>
      </c>
      <c r="I30" t="s">
        <v>89</v>
      </c>
      <c r="L30" s="31">
        <f>SUM(E30*G30)</f>
        <v>0</v>
      </c>
    </row>
    <row r="31" spans="1:12" x14ac:dyDescent="0.2">
      <c r="A31" t="s">
        <v>50</v>
      </c>
      <c r="D31" s="37" t="s">
        <v>90</v>
      </c>
      <c r="E31" s="37" t="s">
        <v>91</v>
      </c>
      <c r="G31" s="38"/>
      <c r="H31" s="10"/>
      <c r="I31" s="10"/>
      <c r="J31" s="10"/>
      <c r="K31" s="10"/>
      <c r="L31" s="39"/>
    </row>
    <row r="32" spans="1:12" x14ac:dyDescent="0.2">
      <c r="B32" t="s">
        <v>92</v>
      </c>
      <c r="D32" s="19">
        <v>0</v>
      </c>
      <c r="E32" s="19">
        <v>0</v>
      </c>
      <c r="G32" s="40">
        <f>SUM(D32+E32)*G9</f>
        <v>0</v>
      </c>
      <c r="I32" t="s">
        <v>85</v>
      </c>
      <c r="L32" s="41">
        <f>SUM(G32/G9)</f>
        <v>0</v>
      </c>
    </row>
    <row r="33" spans="1:12" x14ac:dyDescent="0.2">
      <c r="A33" t="s">
        <v>93</v>
      </c>
      <c r="E33" s="1"/>
      <c r="G33" s="30">
        <v>0</v>
      </c>
      <c r="I33" t="s">
        <v>85</v>
      </c>
      <c r="L33" s="31">
        <f>G33/$G$9</f>
        <v>0</v>
      </c>
    </row>
    <row r="34" spans="1:12" x14ac:dyDescent="0.2">
      <c r="A34" t="s">
        <v>94</v>
      </c>
      <c r="E34" s="1"/>
      <c r="G34" s="30">
        <v>0</v>
      </c>
      <c r="I34" t="s">
        <v>85</v>
      </c>
      <c r="L34" s="31">
        <f>G34/$G$9</f>
        <v>0</v>
      </c>
    </row>
    <row r="35" spans="1:12" x14ac:dyDescent="0.2">
      <c r="A35" t="s">
        <v>95</v>
      </c>
      <c r="E35" s="1"/>
      <c r="G35" s="30">
        <v>0</v>
      </c>
      <c r="I35" t="s">
        <v>85</v>
      </c>
      <c r="L35" s="31">
        <f>G35/$G$9</f>
        <v>0</v>
      </c>
    </row>
    <row r="36" spans="1:12" x14ac:dyDescent="0.2">
      <c r="A36" t="s">
        <v>96</v>
      </c>
      <c r="E36" s="1"/>
      <c r="G36" s="30">
        <v>0</v>
      </c>
      <c r="I36" t="s">
        <v>85</v>
      </c>
      <c r="L36" s="31">
        <f>G36/$G$9</f>
        <v>0</v>
      </c>
    </row>
    <row r="37" spans="1:12" x14ac:dyDescent="0.2">
      <c r="A37" t="s">
        <v>97</v>
      </c>
      <c r="E37" s="37" t="s">
        <v>98</v>
      </c>
    </row>
    <row r="38" spans="1:12" x14ac:dyDescent="0.2">
      <c r="E38" s="19">
        <v>1</v>
      </c>
      <c r="G38" s="42">
        <v>0</v>
      </c>
      <c r="I38" t="s">
        <v>85</v>
      </c>
      <c r="L38" s="40">
        <f>SUM(G38/E38)/G9</f>
        <v>0</v>
      </c>
    </row>
    <row r="39" spans="1:12" x14ac:dyDescent="0.2">
      <c r="A39" s="13" t="s">
        <v>60</v>
      </c>
      <c r="E39" s="1"/>
      <c r="G39" s="30">
        <v>0</v>
      </c>
      <c r="I39" t="s">
        <v>85</v>
      </c>
      <c r="L39" s="31">
        <f>G39/$G$9</f>
        <v>0</v>
      </c>
    </row>
    <row r="40" spans="1:12" x14ac:dyDescent="0.2">
      <c r="A40" s="13" t="s">
        <v>60</v>
      </c>
      <c r="E40" s="1"/>
      <c r="G40" s="30">
        <v>0</v>
      </c>
      <c r="I40" t="s">
        <v>85</v>
      </c>
      <c r="L40" s="31">
        <f>G40/$G$9</f>
        <v>0</v>
      </c>
    </row>
    <row r="41" spans="1:12" x14ac:dyDescent="0.2">
      <c r="A41" s="13" t="s">
        <v>60</v>
      </c>
      <c r="E41" s="1"/>
      <c r="G41" s="30">
        <v>0</v>
      </c>
      <c r="I41" t="s">
        <v>85</v>
      </c>
      <c r="L41" s="31">
        <f>G41/$G$9</f>
        <v>0</v>
      </c>
    </row>
    <row r="42" spans="1:12" x14ac:dyDescent="0.2">
      <c r="E42" s="1"/>
      <c r="G42" s="1"/>
      <c r="I42" s="5" t="s">
        <v>83</v>
      </c>
      <c r="L42" s="33">
        <f>SUM(L27:L41)</f>
        <v>0</v>
      </c>
    </row>
    <row r="43" spans="1:12" x14ac:dyDescent="0.2">
      <c r="E43" s="1"/>
      <c r="L43" s="43"/>
    </row>
    <row r="44" spans="1:12" x14ac:dyDescent="0.2">
      <c r="E44" s="1"/>
      <c r="G44" s="1"/>
      <c r="J44" s="5" t="s">
        <v>44</v>
      </c>
      <c r="L44" s="33">
        <f>L24+L42</f>
        <v>0</v>
      </c>
    </row>
    <row r="45" spans="1:12" x14ac:dyDescent="0.2">
      <c r="E45" s="1"/>
    </row>
    <row r="46" spans="1:12" x14ac:dyDescent="0.2">
      <c r="E46" s="1"/>
    </row>
    <row r="47" spans="1:12" x14ac:dyDescent="0.2">
      <c r="A47" s="44" t="s">
        <v>14</v>
      </c>
      <c r="B47" s="8" t="s">
        <v>16</v>
      </c>
      <c r="C47" s="4"/>
      <c r="E47" s="1"/>
      <c r="G47" s="45">
        <v>0.25</v>
      </c>
    </row>
    <row r="48" spans="1:12" x14ac:dyDescent="0.2">
      <c r="E48" s="1"/>
    </row>
    <row r="49" spans="1:13" x14ac:dyDescent="0.2">
      <c r="A49" s="8" t="s">
        <v>157</v>
      </c>
      <c r="B49" s="8" t="s">
        <v>101</v>
      </c>
      <c r="C49" s="8"/>
      <c r="D49" s="8"/>
      <c r="E49" s="24"/>
      <c r="F49" s="11"/>
      <c r="G49" s="11"/>
    </row>
    <row r="50" spans="1:13" x14ac:dyDescent="0.2">
      <c r="E50" s="1"/>
      <c r="K50" s="11" t="s">
        <v>39</v>
      </c>
      <c r="L50" s="33">
        <f>' Fixed Expenses'!L66</f>
        <v>10.633512432837685</v>
      </c>
    </row>
    <row r="51" spans="1:13" x14ac:dyDescent="0.2">
      <c r="E51" s="1"/>
    </row>
    <row r="52" spans="1:13" x14ac:dyDescent="0.2">
      <c r="C52" s="5" t="s">
        <v>42</v>
      </c>
      <c r="D52" s="33">
        <f>SUM(L50*H53)</f>
        <v>2.866175857907732E-2</v>
      </c>
      <c r="E52" s="1"/>
      <c r="K52" s="5" t="s">
        <v>102</v>
      </c>
      <c r="L52" s="33">
        <f>D54</f>
        <v>2.866175857907732E-2</v>
      </c>
    </row>
    <row r="53" spans="1:13" x14ac:dyDescent="0.2">
      <c r="C53" s="5" t="s">
        <v>43</v>
      </c>
      <c r="D53" s="33">
        <f>L44</f>
        <v>0</v>
      </c>
      <c r="E53" s="8" t="s">
        <v>103</v>
      </c>
      <c r="H53" s="46">
        <f>SUM(G8/' Fixed Expenses'!L3)</f>
        <v>2.6954177897574125E-3</v>
      </c>
      <c r="K53" s="5" t="s">
        <v>104</v>
      </c>
      <c r="L53" s="33">
        <f>L52*G47</f>
        <v>7.16543964476933E-3</v>
      </c>
    </row>
    <row r="54" spans="1:13" x14ac:dyDescent="0.2">
      <c r="C54" s="5" t="s">
        <v>102</v>
      </c>
      <c r="D54" s="33">
        <f>D52+D53</f>
        <v>2.866175857907732E-2</v>
      </c>
      <c r="E54" s="1"/>
      <c r="K54" s="5" t="s">
        <v>105</v>
      </c>
      <c r="L54" s="33">
        <f>L52+L53</f>
        <v>3.5827198223846647E-2</v>
      </c>
    </row>
    <row r="55" spans="1:13" x14ac:dyDescent="0.2">
      <c r="E55" s="1"/>
    </row>
    <row r="56" spans="1:13" x14ac:dyDescent="0.2">
      <c r="E56" s="1"/>
    </row>
    <row r="57" spans="1:13" x14ac:dyDescent="0.2">
      <c r="A57" s="8" t="s">
        <v>163</v>
      </c>
      <c r="B57" s="8" t="s">
        <v>15</v>
      </c>
      <c r="C57" s="8"/>
      <c r="D57" s="8"/>
      <c r="L57" s="10"/>
      <c r="M57" s="10"/>
    </row>
    <row r="58" spans="1:13" x14ac:dyDescent="0.2">
      <c r="L58" s="81"/>
      <c r="M58" s="10"/>
    </row>
    <row r="59" spans="1:13" x14ac:dyDescent="0.2">
      <c r="J59" s="76"/>
      <c r="K59" s="5" t="s">
        <v>17</v>
      </c>
      <c r="L59" s="52">
        <f>L52</f>
        <v>2.866175857907732E-2</v>
      </c>
      <c r="M59" s="10"/>
    </row>
    <row r="60" spans="1:13" x14ac:dyDescent="0.2">
      <c r="M60" s="10"/>
    </row>
    <row r="61" spans="1:13" x14ac:dyDescent="0.2">
      <c r="F61" s="5" t="s">
        <v>165</v>
      </c>
      <c r="G61" s="80">
        <v>0</v>
      </c>
      <c r="H61" s="91" t="s">
        <v>35</v>
      </c>
      <c r="M61" s="10"/>
    </row>
    <row r="62" spans="1:13" x14ac:dyDescent="0.2">
      <c r="F62" s="5" t="s">
        <v>162</v>
      </c>
      <c r="G62" s="79">
        <f>SUM(L62/L59)</f>
        <v>-1</v>
      </c>
      <c r="J62" s="76"/>
      <c r="K62" s="5" t="s">
        <v>18</v>
      </c>
      <c r="L62" s="52">
        <f>SUM(G61-L59)</f>
        <v>-2.866175857907732E-2</v>
      </c>
    </row>
    <row r="63" spans="1:13" x14ac:dyDescent="0.2">
      <c r="L63" s="10"/>
    </row>
    <row r="64" spans="1:13" x14ac:dyDescent="0.2">
      <c r="A64" s="8" t="s">
        <v>164</v>
      </c>
      <c r="B64" s="8" t="s">
        <v>158</v>
      </c>
      <c r="C64" s="8"/>
      <c r="D64" s="8"/>
      <c r="L64" s="10"/>
    </row>
    <row r="65" spans="6:12" x14ac:dyDescent="0.2">
      <c r="L65" s="10"/>
    </row>
    <row r="66" spans="6:12" x14ac:dyDescent="0.2">
      <c r="F66" s="5" t="s">
        <v>18</v>
      </c>
      <c r="G66" s="77">
        <f>L62</f>
        <v>-2.866175857907732E-2</v>
      </c>
      <c r="L66" s="10"/>
    </row>
    <row r="67" spans="6:12" x14ac:dyDescent="0.2">
      <c r="F67" s="5" t="s">
        <v>159</v>
      </c>
      <c r="G67" s="74">
        <f>G8</f>
        <v>1</v>
      </c>
      <c r="L67" s="10"/>
    </row>
    <row r="68" spans="6:12" x14ac:dyDescent="0.2">
      <c r="L68" s="10"/>
    </row>
    <row r="69" spans="6:12" x14ac:dyDescent="0.2">
      <c r="F69" s="5" t="s">
        <v>160</v>
      </c>
      <c r="G69" s="78">
        <f>SUM(G67*G66)</f>
        <v>-2.866175857907732E-2</v>
      </c>
    </row>
  </sheetData>
  <phoneticPr fontId="0" type="noConversion"/>
  <pageMargins left="0.75" right="0.75" top="1" bottom="1" header="0.5" footer="0.5"/>
  <pageSetup orientation="landscape" horizontalDpi="360" verticalDpi="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BC1F9-BE9B-4C52-AF8C-1492885012CA}">
  <sheetPr codeName="Sheet21"/>
  <dimension ref="A2:O69"/>
  <sheetViews>
    <sheetView workbookViewId="0">
      <selection activeCell="N3" sqref="N3:O3"/>
    </sheetView>
  </sheetViews>
  <sheetFormatPr defaultColWidth="8.85546875" defaultRowHeight="12.75" x14ac:dyDescent="0.2"/>
  <cols>
    <col min="1" max="1" width="8.85546875" customWidth="1"/>
    <col min="2" max="2" width="9.42578125" customWidth="1"/>
    <col min="3" max="5" width="8.85546875" customWidth="1"/>
    <col min="6" max="6" width="10.42578125" customWidth="1"/>
    <col min="7" max="7" width="10.28515625" bestFit="1" customWidth="1"/>
    <col min="8" max="10" width="8.85546875" customWidth="1"/>
    <col min="11" max="11" width="16.140625" customWidth="1"/>
    <col min="12" max="12" width="11.42578125" customWidth="1"/>
  </cols>
  <sheetData>
    <row r="2" spans="1:15" x14ac:dyDescent="0.2">
      <c r="A2" s="11" t="s">
        <v>9</v>
      </c>
      <c r="B2" s="11"/>
      <c r="C2" s="3">
        <f>'Total Course Profit'!B25</f>
        <v>0</v>
      </c>
      <c r="D2" s="3"/>
    </row>
    <row r="3" spans="1:15" x14ac:dyDescent="0.2">
      <c r="B3" s="86"/>
      <c r="C3" s="10"/>
      <c r="D3" s="10"/>
      <c r="E3" s="1"/>
      <c r="I3" s="5"/>
      <c r="J3" s="23"/>
      <c r="N3" s="49"/>
      <c r="O3" s="49"/>
    </row>
    <row r="4" spans="1:15" x14ac:dyDescent="0.2">
      <c r="E4" s="1"/>
      <c r="I4" s="5"/>
      <c r="J4" s="23"/>
    </row>
    <row r="5" spans="1:15" x14ac:dyDescent="0.2">
      <c r="A5" s="8" t="s">
        <v>99</v>
      </c>
      <c r="B5" s="8" t="s">
        <v>70</v>
      </c>
      <c r="C5" s="8"/>
      <c r="D5" s="8"/>
      <c r="E5" s="24"/>
      <c r="I5" s="5"/>
      <c r="J5" s="23"/>
    </row>
    <row r="6" spans="1:15" x14ac:dyDescent="0.2">
      <c r="A6" s="8"/>
      <c r="B6" s="8"/>
      <c r="C6" s="8"/>
      <c r="D6" s="8"/>
      <c r="E6" s="24"/>
      <c r="I6" s="5"/>
      <c r="J6" s="23"/>
    </row>
    <row r="7" spans="1:15" x14ac:dyDescent="0.2">
      <c r="A7" s="25" t="s">
        <v>106</v>
      </c>
      <c r="B7" s="4"/>
      <c r="C7" s="4"/>
      <c r="E7" s="24"/>
      <c r="G7" s="26" t="s">
        <v>10</v>
      </c>
      <c r="I7" s="5"/>
      <c r="J7" s="23"/>
      <c r="K7" s="5" t="s">
        <v>52</v>
      </c>
      <c r="L7" s="3">
        <f>'Data Entry'!G21</f>
        <v>371</v>
      </c>
    </row>
    <row r="8" spans="1:15" x14ac:dyDescent="0.2">
      <c r="A8" s="27" t="s">
        <v>71</v>
      </c>
      <c r="B8" s="25"/>
      <c r="C8" s="25"/>
      <c r="E8" s="24"/>
      <c r="G8" s="50">
        <v>1</v>
      </c>
      <c r="I8" s="5"/>
      <c r="J8" s="23"/>
    </row>
    <row r="9" spans="1:15" x14ac:dyDescent="0.2">
      <c r="A9" s="27" t="s">
        <v>72</v>
      </c>
      <c r="B9" s="25"/>
      <c r="C9" s="25"/>
      <c r="E9" s="1"/>
      <c r="G9" s="28">
        <v>1</v>
      </c>
      <c r="K9" s="5"/>
      <c r="L9" s="23"/>
    </row>
    <row r="10" spans="1:15" x14ac:dyDescent="0.2">
      <c r="A10" s="27"/>
      <c r="B10" s="25"/>
      <c r="C10" s="25"/>
      <c r="D10" s="29"/>
      <c r="E10" s="1"/>
      <c r="K10" s="5"/>
      <c r="L10" s="23"/>
    </row>
    <row r="11" spans="1:15" x14ac:dyDescent="0.2">
      <c r="A11" s="8" t="s">
        <v>100</v>
      </c>
      <c r="B11" s="8" t="s">
        <v>74</v>
      </c>
      <c r="C11" s="4"/>
      <c r="D11" s="4"/>
      <c r="E11" s="9"/>
    </row>
    <row r="12" spans="1:15" x14ac:dyDescent="0.2">
      <c r="A12" s="11"/>
      <c r="B12" s="11"/>
      <c r="E12" s="1"/>
    </row>
    <row r="13" spans="1:15" x14ac:dyDescent="0.2">
      <c r="A13" s="11" t="s">
        <v>55</v>
      </c>
      <c r="E13" s="1"/>
      <c r="G13" s="5" t="s">
        <v>56</v>
      </c>
    </row>
    <row r="14" spans="1:15" x14ac:dyDescent="0.2">
      <c r="A14" t="s">
        <v>75</v>
      </c>
      <c r="E14" s="1"/>
      <c r="G14" s="30">
        <v>0</v>
      </c>
      <c r="I14" t="s">
        <v>76</v>
      </c>
      <c r="L14" s="31">
        <f t="shared" ref="L14:L23" si="0">G14</f>
        <v>0</v>
      </c>
    </row>
    <row r="15" spans="1:15" x14ac:dyDescent="0.2">
      <c r="A15" t="s">
        <v>77</v>
      </c>
      <c r="E15" s="1"/>
      <c r="G15" s="30">
        <v>0</v>
      </c>
      <c r="I15" t="s">
        <v>76</v>
      </c>
      <c r="L15" s="31">
        <f t="shared" si="0"/>
        <v>0</v>
      </c>
    </row>
    <row r="16" spans="1:15" x14ac:dyDescent="0.2">
      <c r="A16" t="s">
        <v>78</v>
      </c>
      <c r="E16" s="1"/>
      <c r="G16" s="32">
        <v>0</v>
      </c>
      <c r="I16" t="s">
        <v>76</v>
      </c>
      <c r="L16" s="31">
        <f t="shared" si="0"/>
        <v>0</v>
      </c>
    </row>
    <row r="17" spans="1:12" x14ac:dyDescent="0.2">
      <c r="A17" t="s">
        <v>79</v>
      </c>
      <c r="E17" s="1"/>
      <c r="G17" s="30">
        <v>0</v>
      </c>
      <c r="I17" t="s">
        <v>76</v>
      </c>
      <c r="L17" s="31">
        <f t="shared" si="0"/>
        <v>0</v>
      </c>
    </row>
    <row r="18" spans="1:12" x14ac:dyDescent="0.2">
      <c r="A18" t="s">
        <v>80</v>
      </c>
      <c r="E18" s="1"/>
      <c r="G18" s="30">
        <v>0</v>
      </c>
      <c r="I18" t="s">
        <v>76</v>
      </c>
      <c r="L18" s="31">
        <f t="shared" si="0"/>
        <v>0</v>
      </c>
    </row>
    <row r="19" spans="1:12" x14ac:dyDescent="0.2">
      <c r="A19" t="s">
        <v>81</v>
      </c>
      <c r="E19" s="1"/>
      <c r="G19" s="30">
        <v>0</v>
      </c>
      <c r="I19" t="s">
        <v>76</v>
      </c>
      <c r="L19" s="31">
        <f t="shared" si="0"/>
        <v>0</v>
      </c>
    </row>
    <row r="20" spans="1:12" x14ac:dyDescent="0.2">
      <c r="A20" t="s">
        <v>82</v>
      </c>
      <c r="E20" s="1"/>
      <c r="G20" s="30">
        <v>0</v>
      </c>
      <c r="I20" t="s">
        <v>76</v>
      </c>
      <c r="L20" s="31">
        <f t="shared" si="0"/>
        <v>0</v>
      </c>
    </row>
    <row r="21" spans="1:12" x14ac:dyDescent="0.2">
      <c r="A21" s="13" t="s">
        <v>60</v>
      </c>
      <c r="E21" s="1"/>
      <c r="G21" s="30">
        <v>0</v>
      </c>
      <c r="I21" t="s">
        <v>76</v>
      </c>
      <c r="L21" s="31">
        <f t="shared" si="0"/>
        <v>0</v>
      </c>
    </row>
    <row r="22" spans="1:12" x14ac:dyDescent="0.2">
      <c r="A22" s="13" t="s">
        <v>60</v>
      </c>
      <c r="E22" s="1"/>
      <c r="G22" s="30">
        <v>0</v>
      </c>
      <c r="I22" t="s">
        <v>76</v>
      </c>
      <c r="L22" s="31">
        <f t="shared" si="0"/>
        <v>0</v>
      </c>
    </row>
    <row r="23" spans="1:12" x14ac:dyDescent="0.2">
      <c r="A23" s="13" t="s">
        <v>60</v>
      </c>
      <c r="E23" s="1"/>
      <c r="G23" s="30">
        <v>0</v>
      </c>
      <c r="I23" t="s">
        <v>76</v>
      </c>
      <c r="L23" s="31">
        <f t="shared" si="0"/>
        <v>0</v>
      </c>
    </row>
    <row r="24" spans="1:12" x14ac:dyDescent="0.2">
      <c r="E24" s="1"/>
      <c r="G24" s="1"/>
      <c r="K24" s="5" t="s">
        <v>83</v>
      </c>
      <c r="L24" s="33">
        <f>SUM(L14:L23)</f>
        <v>0</v>
      </c>
    </row>
    <row r="25" spans="1:12" x14ac:dyDescent="0.2">
      <c r="A25" s="11"/>
      <c r="B25" s="11"/>
      <c r="E25" s="1"/>
      <c r="L25" s="1"/>
    </row>
    <row r="26" spans="1:12" x14ac:dyDescent="0.2">
      <c r="A26" s="11" t="s">
        <v>55</v>
      </c>
      <c r="E26" s="1"/>
      <c r="G26" s="5" t="s">
        <v>56</v>
      </c>
    </row>
    <row r="27" spans="1:12" x14ac:dyDescent="0.2">
      <c r="A27" t="s">
        <v>84</v>
      </c>
      <c r="E27" s="1"/>
      <c r="G27" s="30">
        <v>0</v>
      </c>
      <c r="I27" t="s">
        <v>85</v>
      </c>
      <c r="L27" s="31">
        <f>G27/$G$9</f>
        <v>0</v>
      </c>
    </row>
    <row r="28" spans="1:12" x14ac:dyDescent="0.2">
      <c r="A28" t="s">
        <v>86</v>
      </c>
      <c r="D28" s="34"/>
      <c r="E28" s="35"/>
      <c r="G28" s="30">
        <v>0</v>
      </c>
      <c r="I28" t="s">
        <v>85</v>
      </c>
      <c r="L28" s="31">
        <f>G28/$G$9</f>
        <v>0</v>
      </c>
    </row>
    <row r="29" spans="1:12" x14ac:dyDescent="0.2">
      <c r="A29" t="s">
        <v>87</v>
      </c>
      <c r="E29" s="36" t="s">
        <v>88</v>
      </c>
    </row>
    <row r="30" spans="1:12" x14ac:dyDescent="0.2">
      <c r="D30" t="s">
        <v>173</v>
      </c>
      <c r="E30" s="19">
        <v>0</v>
      </c>
      <c r="G30" s="30">
        <v>0</v>
      </c>
      <c r="I30" t="s">
        <v>89</v>
      </c>
      <c r="L30" s="31">
        <f>SUM(E30*G30)</f>
        <v>0</v>
      </c>
    </row>
    <row r="31" spans="1:12" x14ac:dyDescent="0.2">
      <c r="A31" t="s">
        <v>50</v>
      </c>
      <c r="D31" s="37" t="s">
        <v>90</v>
      </c>
      <c r="E31" s="37" t="s">
        <v>91</v>
      </c>
      <c r="G31" s="38"/>
      <c r="H31" s="10"/>
      <c r="I31" s="10"/>
      <c r="J31" s="10"/>
      <c r="K31" s="10"/>
      <c r="L31" s="39"/>
    </row>
    <row r="32" spans="1:12" x14ac:dyDescent="0.2">
      <c r="B32" t="s">
        <v>92</v>
      </c>
      <c r="D32" s="19">
        <v>0</v>
      </c>
      <c r="E32" s="19">
        <v>0</v>
      </c>
      <c r="G32" s="40">
        <f>SUM(D32+E32)*G9</f>
        <v>0</v>
      </c>
      <c r="I32" t="s">
        <v>85</v>
      </c>
      <c r="L32" s="41">
        <f>SUM(G32/G9)</f>
        <v>0</v>
      </c>
    </row>
    <row r="33" spans="1:12" x14ac:dyDescent="0.2">
      <c r="A33" t="s">
        <v>93</v>
      </c>
      <c r="E33" s="1"/>
      <c r="G33" s="30">
        <v>0</v>
      </c>
      <c r="I33" t="s">
        <v>85</v>
      </c>
      <c r="L33" s="31">
        <f>G33/$G$9</f>
        <v>0</v>
      </c>
    </row>
    <row r="34" spans="1:12" x14ac:dyDescent="0.2">
      <c r="A34" t="s">
        <v>94</v>
      </c>
      <c r="E34" s="1"/>
      <c r="G34" s="30">
        <v>0</v>
      </c>
      <c r="I34" t="s">
        <v>85</v>
      </c>
      <c r="L34" s="31">
        <f>G34/$G$9</f>
        <v>0</v>
      </c>
    </row>
    <row r="35" spans="1:12" x14ac:dyDescent="0.2">
      <c r="A35" t="s">
        <v>95</v>
      </c>
      <c r="E35" s="1"/>
      <c r="G35" s="30">
        <v>0</v>
      </c>
      <c r="I35" t="s">
        <v>85</v>
      </c>
      <c r="L35" s="31">
        <f>G35/$G$9</f>
        <v>0</v>
      </c>
    </row>
    <row r="36" spans="1:12" x14ac:dyDescent="0.2">
      <c r="A36" t="s">
        <v>96</v>
      </c>
      <c r="E36" s="1"/>
      <c r="G36" s="30">
        <v>0</v>
      </c>
      <c r="I36" t="s">
        <v>85</v>
      </c>
      <c r="L36" s="31">
        <f>G36/$G$9</f>
        <v>0</v>
      </c>
    </row>
    <row r="37" spans="1:12" x14ac:dyDescent="0.2">
      <c r="A37" t="s">
        <v>97</v>
      </c>
      <c r="E37" s="37" t="s">
        <v>98</v>
      </c>
    </row>
    <row r="38" spans="1:12" x14ac:dyDescent="0.2">
      <c r="E38" s="19">
        <v>1</v>
      </c>
      <c r="G38" s="42">
        <v>0</v>
      </c>
      <c r="I38" t="s">
        <v>85</v>
      </c>
      <c r="L38" s="40">
        <f>SUM(G38/E38)/G9</f>
        <v>0</v>
      </c>
    </row>
    <row r="39" spans="1:12" x14ac:dyDescent="0.2">
      <c r="A39" s="13" t="s">
        <v>60</v>
      </c>
      <c r="E39" s="1"/>
      <c r="G39" s="30">
        <v>0</v>
      </c>
      <c r="I39" t="s">
        <v>85</v>
      </c>
      <c r="L39" s="31">
        <f>G39/$G$9</f>
        <v>0</v>
      </c>
    </row>
    <row r="40" spans="1:12" x14ac:dyDescent="0.2">
      <c r="A40" s="13" t="s">
        <v>60</v>
      </c>
      <c r="E40" s="1"/>
      <c r="G40" s="30">
        <v>0</v>
      </c>
      <c r="I40" t="s">
        <v>85</v>
      </c>
      <c r="L40" s="31">
        <f>G40/$G$9</f>
        <v>0</v>
      </c>
    </row>
    <row r="41" spans="1:12" x14ac:dyDescent="0.2">
      <c r="A41" s="13" t="s">
        <v>60</v>
      </c>
      <c r="E41" s="1"/>
      <c r="G41" s="30">
        <v>0</v>
      </c>
      <c r="I41" t="s">
        <v>85</v>
      </c>
      <c r="L41" s="31">
        <f>G41/$G$9</f>
        <v>0</v>
      </c>
    </row>
    <row r="42" spans="1:12" x14ac:dyDescent="0.2">
      <c r="E42" s="1"/>
      <c r="G42" s="1"/>
      <c r="I42" s="5" t="s">
        <v>83</v>
      </c>
      <c r="L42" s="33">
        <f>SUM(L27:L41)</f>
        <v>0</v>
      </c>
    </row>
    <row r="43" spans="1:12" x14ac:dyDescent="0.2">
      <c r="E43" s="1"/>
      <c r="L43" s="43"/>
    </row>
    <row r="44" spans="1:12" x14ac:dyDescent="0.2">
      <c r="E44" s="1"/>
      <c r="G44" s="1"/>
      <c r="J44" s="5" t="s">
        <v>44</v>
      </c>
      <c r="L44" s="33">
        <f>L24+L42</f>
        <v>0</v>
      </c>
    </row>
    <row r="45" spans="1:12" x14ac:dyDescent="0.2">
      <c r="E45" s="1"/>
    </row>
    <row r="46" spans="1:12" x14ac:dyDescent="0.2">
      <c r="E46" s="1"/>
    </row>
    <row r="47" spans="1:12" x14ac:dyDescent="0.2">
      <c r="A47" s="44" t="s">
        <v>14</v>
      </c>
      <c r="B47" s="8" t="s">
        <v>16</v>
      </c>
      <c r="C47" s="4"/>
      <c r="E47" s="1"/>
      <c r="G47" s="45">
        <v>0.25</v>
      </c>
    </row>
    <row r="48" spans="1:12" x14ac:dyDescent="0.2">
      <c r="E48" s="1"/>
    </row>
    <row r="49" spans="1:13" x14ac:dyDescent="0.2">
      <c r="A49" s="8" t="s">
        <v>157</v>
      </c>
      <c r="B49" s="8" t="s">
        <v>101</v>
      </c>
      <c r="C49" s="8"/>
      <c r="D49" s="8"/>
      <c r="E49" s="24"/>
      <c r="F49" s="11"/>
      <c r="G49" s="11"/>
    </row>
    <row r="50" spans="1:13" x14ac:dyDescent="0.2">
      <c r="E50" s="1"/>
      <c r="K50" s="11" t="s">
        <v>39</v>
      </c>
      <c r="L50" s="33">
        <f>' Fixed Expenses'!L66</f>
        <v>10.633512432837685</v>
      </c>
    </row>
    <row r="51" spans="1:13" x14ac:dyDescent="0.2">
      <c r="E51" s="1"/>
    </row>
    <row r="52" spans="1:13" x14ac:dyDescent="0.2">
      <c r="C52" s="5" t="s">
        <v>42</v>
      </c>
      <c r="D52" s="33">
        <f>SUM(L50*H53)</f>
        <v>2.866175857907732E-2</v>
      </c>
      <c r="E52" s="1"/>
      <c r="K52" s="5" t="s">
        <v>102</v>
      </c>
      <c r="L52" s="33">
        <f>D54</f>
        <v>2.866175857907732E-2</v>
      </c>
    </row>
    <row r="53" spans="1:13" x14ac:dyDescent="0.2">
      <c r="C53" s="5" t="s">
        <v>43</v>
      </c>
      <c r="D53" s="33">
        <f>L44</f>
        <v>0</v>
      </c>
      <c r="E53" s="8" t="s">
        <v>103</v>
      </c>
      <c r="H53" s="46">
        <f>SUM(G8/' Fixed Expenses'!L3)</f>
        <v>2.6954177897574125E-3</v>
      </c>
      <c r="K53" s="5" t="s">
        <v>104</v>
      </c>
      <c r="L53" s="33">
        <f>L52*G47</f>
        <v>7.16543964476933E-3</v>
      </c>
    </row>
    <row r="54" spans="1:13" x14ac:dyDescent="0.2">
      <c r="C54" s="5" t="s">
        <v>102</v>
      </c>
      <c r="D54" s="33">
        <f>D52+D53</f>
        <v>2.866175857907732E-2</v>
      </c>
      <c r="E54" s="1"/>
      <c r="K54" s="5" t="s">
        <v>105</v>
      </c>
      <c r="L54" s="33">
        <f>L52+L53</f>
        <v>3.5827198223846647E-2</v>
      </c>
    </row>
    <row r="55" spans="1:13" x14ac:dyDescent="0.2">
      <c r="E55" s="1"/>
    </row>
    <row r="56" spans="1:13" x14ac:dyDescent="0.2">
      <c r="E56" s="1"/>
    </row>
    <row r="57" spans="1:13" x14ac:dyDescent="0.2">
      <c r="A57" s="8" t="s">
        <v>163</v>
      </c>
      <c r="B57" s="8" t="s">
        <v>15</v>
      </c>
      <c r="C57" s="8"/>
      <c r="D57" s="8"/>
      <c r="L57" s="10"/>
      <c r="M57" s="10"/>
    </row>
    <row r="58" spans="1:13" x14ac:dyDescent="0.2">
      <c r="L58" s="81"/>
      <c r="M58" s="10"/>
    </row>
    <row r="59" spans="1:13" x14ac:dyDescent="0.2">
      <c r="J59" s="76"/>
      <c r="K59" s="5" t="s">
        <v>17</v>
      </c>
      <c r="L59" s="52">
        <f>L52</f>
        <v>2.866175857907732E-2</v>
      </c>
      <c r="M59" s="10"/>
    </row>
    <row r="60" spans="1:13" x14ac:dyDescent="0.2">
      <c r="M60" s="10"/>
    </row>
    <row r="61" spans="1:13" x14ac:dyDescent="0.2">
      <c r="F61" s="5" t="s">
        <v>165</v>
      </c>
      <c r="G61" s="80">
        <v>0</v>
      </c>
      <c r="H61" s="91" t="s">
        <v>35</v>
      </c>
      <c r="M61" s="10"/>
    </row>
    <row r="62" spans="1:13" x14ac:dyDescent="0.2">
      <c r="F62" s="5" t="s">
        <v>162</v>
      </c>
      <c r="G62" s="79">
        <f>SUM(L62/L59)</f>
        <v>-1</v>
      </c>
      <c r="J62" s="76"/>
      <c r="K62" s="5" t="s">
        <v>18</v>
      </c>
      <c r="L62" s="52">
        <f>SUM(G61-L59)</f>
        <v>-2.866175857907732E-2</v>
      </c>
    </row>
    <row r="63" spans="1:13" x14ac:dyDescent="0.2">
      <c r="L63" s="10"/>
    </row>
    <row r="64" spans="1:13" x14ac:dyDescent="0.2">
      <c r="A64" s="8" t="s">
        <v>164</v>
      </c>
      <c r="B64" s="8" t="s">
        <v>158</v>
      </c>
      <c r="C64" s="8"/>
      <c r="D64" s="8"/>
      <c r="L64" s="10"/>
    </row>
    <row r="65" spans="6:12" x14ac:dyDescent="0.2">
      <c r="L65" s="10"/>
    </row>
    <row r="66" spans="6:12" x14ac:dyDescent="0.2">
      <c r="F66" s="5" t="s">
        <v>18</v>
      </c>
      <c r="G66" s="77">
        <f>L62</f>
        <v>-2.866175857907732E-2</v>
      </c>
      <c r="L66" s="10"/>
    </row>
    <row r="67" spans="6:12" x14ac:dyDescent="0.2">
      <c r="F67" s="5" t="s">
        <v>159</v>
      </c>
      <c r="G67" s="74">
        <f>G8</f>
        <v>1</v>
      </c>
      <c r="L67" s="10"/>
    </row>
    <row r="68" spans="6:12" x14ac:dyDescent="0.2">
      <c r="L68" s="10"/>
    </row>
    <row r="69" spans="6:12" x14ac:dyDescent="0.2">
      <c r="F69" s="5" t="s">
        <v>160</v>
      </c>
      <c r="G69" s="78">
        <f>SUM(G67*G66)</f>
        <v>-2.866175857907732E-2</v>
      </c>
    </row>
  </sheetData>
  <phoneticPr fontId="0" type="noConversion"/>
  <pageMargins left="0.75" right="0.75" top="1" bottom="1" header="0.5" footer="0.5"/>
  <pageSetup orientation="landscape" horizontalDpi="360" verticalDpi="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C2474-3555-4526-A855-DCE9749AA20A}">
  <sheetPr codeName="Sheet22"/>
  <dimension ref="A2:O69"/>
  <sheetViews>
    <sheetView workbookViewId="0">
      <selection activeCell="N3" sqref="N3:O3"/>
    </sheetView>
  </sheetViews>
  <sheetFormatPr defaultColWidth="8.85546875" defaultRowHeight="12.75" x14ac:dyDescent="0.2"/>
  <cols>
    <col min="1" max="1" width="8.85546875" customWidth="1"/>
    <col min="2" max="2" width="9.7109375" customWidth="1"/>
    <col min="3" max="5" width="8.85546875" customWidth="1"/>
    <col min="6" max="6" width="10.42578125" customWidth="1"/>
    <col min="7" max="7" width="10.28515625" bestFit="1" customWidth="1"/>
    <col min="8" max="10" width="8.85546875" customWidth="1"/>
    <col min="11" max="11" width="16.140625" customWidth="1"/>
    <col min="12" max="12" width="11.42578125" customWidth="1"/>
  </cols>
  <sheetData>
    <row r="2" spans="1:15" x14ac:dyDescent="0.2">
      <c r="A2" s="11" t="s">
        <v>9</v>
      </c>
      <c r="B2" s="11"/>
      <c r="C2" s="3">
        <f>'Total Course Profit'!B26</f>
        <v>0</v>
      </c>
      <c r="D2" s="3"/>
    </row>
    <row r="3" spans="1:15" x14ac:dyDescent="0.2">
      <c r="B3" s="86"/>
      <c r="C3" s="10"/>
      <c r="D3" s="10"/>
      <c r="E3" s="1"/>
      <c r="I3" s="5"/>
      <c r="J3" s="23"/>
      <c r="N3" s="49"/>
      <c r="O3" s="49"/>
    </row>
    <row r="4" spans="1:15" x14ac:dyDescent="0.2">
      <c r="E4" s="1"/>
      <c r="I4" s="5"/>
      <c r="J4" s="23"/>
    </row>
    <row r="5" spans="1:15" x14ac:dyDescent="0.2">
      <c r="A5" s="8" t="s">
        <v>99</v>
      </c>
      <c r="B5" s="8" t="s">
        <v>70</v>
      </c>
      <c r="C5" s="8"/>
      <c r="D5" s="8"/>
      <c r="E5" s="24"/>
      <c r="I5" s="5"/>
      <c r="J5" s="23"/>
    </row>
    <row r="6" spans="1:15" x14ac:dyDescent="0.2">
      <c r="A6" s="8"/>
      <c r="B6" s="8"/>
      <c r="C6" s="8"/>
      <c r="D6" s="8"/>
      <c r="E6" s="24"/>
      <c r="I6" s="5"/>
      <c r="J6" s="23"/>
    </row>
    <row r="7" spans="1:15" x14ac:dyDescent="0.2">
      <c r="A7" s="25" t="s">
        <v>106</v>
      </c>
      <c r="B7" s="4"/>
      <c r="C7" s="4"/>
      <c r="E7" s="24"/>
      <c r="G7" s="26" t="s">
        <v>10</v>
      </c>
      <c r="I7" s="5"/>
      <c r="J7" s="23"/>
      <c r="K7" s="5" t="s">
        <v>52</v>
      </c>
      <c r="L7" s="3">
        <f>'Data Entry'!G21</f>
        <v>371</v>
      </c>
    </row>
    <row r="8" spans="1:15" x14ac:dyDescent="0.2">
      <c r="A8" s="27" t="s">
        <v>71</v>
      </c>
      <c r="B8" s="25"/>
      <c r="C8" s="25"/>
      <c r="E8" s="24"/>
      <c r="G8" s="50">
        <v>1</v>
      </c>
      <c r="I8" s="5"/>
      <c r="J8" s="23"/>
    </row>
    <row r="9" spans="1:15" x14ac:dyDescent="0.2">
      <c r="A9" s="27" t="s">
        <v>72</v>
      </c>
      <c r="B9" s="25"/>
      <c r="C9" s="25"/>
      <c r="E9" s="1"/>
      <c r="G9" s="28">
        <v>1</v>
      </c>
      <c r="K9" s="5"/>
      <c r="L9" s="23"/>
    </row>
    <row r="10" spans="1:15" x14ac:dyDescent="0.2">
      <c r="A10" s="27"/>
      <c r="B10" s="25"/>
      <c r="C10" s="25"/>
      <c r="D10" s="29"/>
      <c r="E10" s="1"/>
      <c r="K10" s="5"/>
      <c r="L10" s="23"/>
    </row>
    <row r="11" spans="1:15" x14ac:dyDescent="0.2">
      <c r="A11" s="8" t="s">
        <v>100</v>
      </c>
      <c r="B11" s="8" t="s">
        <v>74</v>
      </c>
      <c r="C11" s="4"/>
      <c r="D11" s="4"/>
      <c r="E11" s="9"/>
    </row>
    <row r="12" spans="1:15" x14ac:dyDescent="0.2">
      <c r="A12" s="11"/>
      <c r="B12" s="11"/>
      <c r="E12" s="1"/>
    </row>
    <row r="13" spans="1:15" x14ac:dyDescent="0.2">
      <c r="A13" s="11" t="s">
        <v>55</v>
      </c>
      <c r="E13" s="1"/>
      <c r="G13" s="5" t="s">
        <v>56</v>
      </c>
    </row>
    <row r="14" spans="1:15" x14ac:dyDescent="0.2">
      <c r="A14" t="s">
        <v>75</v>
      </c>
      <c r="E14" s="1"/>
      <c r="G14" s="30">
        <v>0</v>
      </c>
      <c r="I14" t="s">
        <v>76</v>
      </c>
      <c r="L14" s="31">
        <f t="shared" ref="L14:L23" si="0">G14</f>
        <v>0</v>
      </c>
    </row>
    <row r="15" spans="1:15" x14ac:dyDescent="0.2">
      <c r="A15" t="s">
        <v>77</v>
      </c>
      <c r="E15" s="1"/>
      <c r="G15" s="30">
        <v>0</v>
      </c>
      <c r="I15" t="s">
        <v>76</v>
      </c>
      <c r="L15" s="31">
        <f t="shared" si="0"/>
        <v>0</v>
      </c>
    </row>
    <row r="16" spans="1:15" x14ac:dyDescent="0.2">
      <c r="A16" t="s">
        <v>78</v>
      </c>
      <c r="E16" s="1"/>
      <c r="G16" s="32">
        <v>0</v>
      </c>
      <c r="I16" t="s">
        <v>76</v>
      </c>
      <c r="L16" s="31">
        <f t="shared" si="0"/>
        <v>0</v>
      </c>
    </row>
    <row r="17" spans="1:12" x14ac:dyDescent="0.2">
      <c r="A17" t="s">
        <v>79</v>
      </c>
      <c r="E17" s="1"/>
      <c r="G17" s="30">
        <v>0</v>
      </c>
      <c r="I17" t="s">
        <v>76</v>
      </c>
      <c r="L17" s="31">
        <f t="shared" si="0"/>
        <v>0</v>
      </c>
    </row>
    <row r="18" spans="1:12" x14ac:dyDescent="0.2">
      <c r="A18" t="s">
        <v>80</v>
      </c>
      <c r="E18" s="1"/>
      <c r="G18" s="30">
        <v>0</v>
      </c>
      <c r="I18" t="s">
        <v>76</v>
      </c>
      <c r="L18" s="31">
        <f t="shared" si="0"/>
        <v>0</v>
      </c>
    </row>
    <row r="19" spans="1:12" x14ac:dyDescent="0.2">
      <c r="A19" t="s">
        <v>81</v>
      </c>
      <c r="E19" s="1"/>
      <c r="G19" s="30">
        <v>0</v>
      </c>
      <c r="I19" t="s">
        <v>76</v>
      </c>
      <c r="L19" s="31">
        <f t="shared" si="0"/>
        <v>0</v>
      </c>
    </row>
    <row r="20" spans="1:12" x14ac:dyDescent="0.2">
      <c r="A20" t="s">
        <v>82</v>
      </c>
      <c r="E20" s="1"/>
      <c r="G20" s="30">
        <v>0</v>
      </c>
      <c r="I20" t="s">
        <v>76</v>
      </c>
      <c r="L20" s="31">
        <f t="shared" si="0"/>
        <v>0</v>
      </c>
    </row>
    <row r="21" spans="1:12" x14ac:dyDescent="0.2">
      <c r="A21" s="13" t="s">
        <v>60</v>
      </c>
      <c r="E21" s="1"/>
      <c r="G21" s="30">
        <v>0</v>
      </c>
      <c r="I21" t="s">
        <v>76</v>
      </c>
      <c r="L21" s="31">
        <f t="shared" si="0"/>
        <v>0</v>
      </c>
    </row>
    <row r="22" spans="1:12" x14ac:dyDescent="0.2">
      <c r="A22" s="13" t="s">
        <v>60</v>
      </c>
      <c r="E22" s="1"/>
      <c r="G22" s="30">
        <v>0</v>
      </c>
      <c r="I22" t="s">
        <v>76</v>
      </c>
      <c r="L22" s="31">
        <f t="shared" si="0"/>
        <v>0</v>
      </c>
    </row>
    <row r="23" spans="1:12" x14ac:dyDescent="0.2">
      <c r="A23" s="13" t="s">
        <v>60</v>
      </c>
      <c r="E23" s="1"/>
      <c r="G23" s="30">
        <v>0</v>
      </c>
      <c r="I23" t="s">
        <v>76</v>
      </c>
      <c r="L23" s="31">
        <f t="shared" si="0"/>
        <v>0</v>
      </c>
    </row>
    <row r="24" spans="1:12" x14ac:dyDescent="0.2">
      <c r="E24" s="1"/>
      <c r="G24" s="1"/>
      <c r="K24" s="5" t="s">
        <v>83</v>
      </c>
      <c r="L24" s="33">
        <f>SUM(L14:L23)</f>
        <v>0</v>
      </c>
    </row>
    <row r="25" spans="1:12" x14ac:dyDescent="0.2">
      <c r="A25" s="11"/>
      <c r="B25" s="11"/>
      <c r="E25" s="1"/>
      <c r="L25" s="1"/>
    </row>
    <row r="26" spans="1:12" x14ac:dyDescent="0.2">
      <c r="A26" s="11" t="s">
        <v>55</v>
      </c>
      <c r="E26" s="1"/>
      <c r="G26" s="5" t="s">
        <v>56</v>
      </c>
    </row>
    <row r="27" spans="1:12" x14ac:dyDescent="0.2">
      <c r="A27" t="s">
        <v>84</v>
      </c>
      <c r="E27" s="1"/>
      <c r="G27" s="30">
        <v>0</v>
      </c>
      <c r="I27" t="s">
        <v>85</v>
      </c>
      <c r="L27" s="31">
        <f>G27/$G$9</f>
        <v>0</v>
      </c>
    </row>
    <row r="28" spans="1:12" x14ac:dyDescent="0.2">
      <c r="A28" t="s">
        <v>86</v>
      </c>
      <c r="D28" s="34"/>
      <c r="E28" s="35"/>
      <c r="G28" s="30">
        <v>0</v>
      </c>
      <c r="I28" t="s">
        <v>85</v>
      </c>
      <c r="L28" s="31">
        <f>G28/$G$9</f>
        <v>0</v>
      </c>
    </row>
    <row r="29" spans="1:12" x14ac:dyDescent="0.2">
      <c r="A29" t="s">
        <v>87</v>
      </c>
      <c r="E29" s="36" t="s">
        <v>88</v>
      </c>
    </row>
    <row r="30" spans="1:12" x14ac:dyDescent="0.2">
      <c r="D30" t="s">
        <v>173</v>
      </c>
      <c r="E30" s="19">
        <v>0</v>
      </c>
      <c r="G30" s="30">
        <v>0</v>
      </c>
      <c r="I30" t="s">
        <v>89</v>
      </c>
      <c r="L30" s="31">
        <f>SUM(E30*G30)</f>
        <v>0</v>
      </c>
    </row>
    <row r="31" spans="1:12" x14ac:dyDescent="0.2">
      <c r="A31" t="s">
        <v>50</v>
      </c>
      <c r="D31" s="37" t="s">
        <v>90</v>
      </c>
      <c r="E31" s="37" t="s">
        <v>91</v>
      </c>
      <c r="G31" s="38"/>
      <c r="H31" s="10"/>
      <c r="I31" s="10"/>
      <c r="J31" s="10"/>
      <c r="K31" s="10"/>
      <c r="L31" s="39"/>
    </row>
    <row r="32" spans="1:12" x14ac:dyDescent="0.2">
      <c r="B32" t="s">
        <v>92</v>
      </c>
      <c r="D32" s="19">
        <v>0</v>
      </c>
      <c r="E32" s="19">
        <v>0</v>
      </c>
      <c r="G32" s="40">
        <f>SUM(D32+E32)*G9</f>
        <v>0</v>
      </c>
      <c r="I32" t="s">
        <v>85</v>
      </c>
      <c r="L32" s="41">
        <f>SUM(G32/G9)</f>
        <v>0</v>
      </c>
    </row>
    <row r="33" spans="1:12" x14ac:dyDescent="0.2">
      <c r="A33" t="s">
        <v>93</v>
      </c>
      <c r="E33" s="1"/>
      <c r="G33" s="30">
        <v>0</v>
      </c>
      <c r="I33" t="s">
        <v>85</v>
      </c>
      <c r="L33" s="31">
        <f>G33/$G$9</f>
        <v>0</v>
      </c>
    </row>
    <row r="34" spans="1:12" x14ac:dyDescent="0.2">
      <c r="A34" t="s">
        <v>94</v>
      </c>
      <c r="E34" s="1"/>
      <c r="G34" s="30">
        <v>0</v>
      </c>
      <c r="I34" t="s">
        <v>85</v>
      </c>
      <c r="L34" s="31">
        <f>G34/$G$9</f>
        <v>0</v>
      </c>
    </row>
    <row r="35" spans="1:12" x14ac:dyDescent="0.2">
      <c r="A35" t="s">
        <v>95</v>
      </c>
      <c r="E35" s="1"/>
      <c r="G35" s="30">
        <v>0</v>
      </c>
      <c r="I35" t="s">
        <v>85</v>
      </c>
      <c r="L35" s="31">
        <f>G35/$G$9</f>
        <v>0</v>
      </c>
    </row>
    <row r="36" spans="1:12" x14ac:dyDescent="0.2">
      <c r="A36" t="s">
        <v>96</v>
      </c>
      <c r="E36" s="1"/>
      <c r="G36" s="30">
        <v>0</v>
      </c>
      <c r="I36" t="s">
        <v>85</v>
      </c>
      <c r="L36" s="31">
        <f>G36/$G$9</f>
        <v>0</v>
      </c>
    </row>
    <row r="37" spans="1:12" x14ac:dyDescent="0.2">
      <c r="A37" t="s">
        <v>97</v>
      </c>
      <c r="E37" s="37" t="s">
        <v>98</v>
      </c>
    </row>
    <row r="38" spans="1:12" x14ac:dyDescent="0.2">
      <c r="E38" s="19">
        <v>1</v>
      </c>
      <c r="G38" s="42">
        <v>0</v>
      </c>
      <c r="I38" t="s">
        <v>85</v>
      </c>
      <c r="L38" s="40">
        <f>SUM(G38/E38)/G9</f>
        <v>0</v>
      </c>
    </row>
    <row r="39" spans="1:12" x14ac:dyDescent="0.2">
      <c r="A39" s="13" t="s">
        <v>60</v>
      </c>
      <c r="E39" s="1"/>
      <c r="G39" s="30">
        <v>0</v>
      </c>
      <c r="I39" t="s">
        <v>85</v>
      </c>
      <c r="L39" s="31">
        <f>G39/$G$9</f>
        <v>0</v>
      </c>
    </row>
    <row r="40" spans="1:12" x14ac:dyDescent="0.2">
      <c r="A40" s="13" t="s">
        <v>60</v>
      </c>
      <c r="E40" s="1"/>
      <c r="G40" s="30">
        <v>0</v>
      </c>
      <c r="I40" t="s">
        <v>85</v>
      </c>
      <c r="L40" s="31">
        <f>G40/$G$9</f>
        <v>0</v>
      </c>
    </row>
    <row r="41" spans="1:12" x14ac:dyDescent="0.2">
      <c r="A41" s="13" t="s">
        <v>60</v>
      </c>
      <c r="E41" s="1"/>
      <c r="G41" s="30">
        <v>0</v>
      </c>
      <c r="I41" t="s">
        <v>85</v>
      </c>
      <c r="L41" s="31">
        <f>G41/$G$9</f>
        <v>0</v>
      </c>
    </row>
    <row r="42" spans="1:12" x14ac:dyDescent="0.2">
      <c r="E42" s="1"/>
      <c r="G42" s="1"/>
      <c r="I42" s="5" t="s">
        <v>83</v>
      </c>
      <c r="L42" s="33">
        <f>SUM(L27:L41)</f>
        <v>0</v>
      </c>
    </row>
    <row r="43" spans="1:12" x14ac:dyDescent="0.2">
      <c r="E43" s="1"/>
      <c r="L43" s="43"/>
    </row>
    <row r="44" spans="1:12" x14ac:dyDescent="0.2">
      <c r="E44" s="1"/>
      <c r="G44" s="1"/>
      <c r="J44" s="5" t="s">
        <v>44</v>
      </c>
      <c r="L44" s="33">
        <f>L24+L42</f>
        <v>0</v>
      </c>
    </row>
    <row r="45" spans="1:12" x14ac:dyDescent="0.2">
      <c r="E45" s="1"/>
    </row>
    <row r="46" spans="1:12" x14ac:dyDescent="0.2">
      <c r="E46" s="1"/>
    </row>
    <row r="47" spans="1:12" x14ac:dyDescent="0.2">
      <c r="A47" s="44" t="s">
        <v>14</v>
      </c>
      <c r="B47" s="8" t="s">
        <v>16</v>
      </c>
      <c r="C47" s="4"/>
      <c r="E47" s="1"/>
      <c r="G47" s="45">
        <v>0.25</v>
      </c>
    </row>
    <row r="48" spans="1:12" x14ac:dyDescent="0.2">
      <c r="E48" s="1"/>
    </row>
    <row r="49" spans="1:13" x14ac:dyDescent="0.2">
      <c r="A49" s="8" t="s">
        <v>157</v>
      </c>
      <c r="B49" s="8" t="s">
        <v>101</v>
      </c>
      <c r="C49" s="8"/>
      <c r="D49" s="8"/>
      <c r="E49" s="24"/>
      <c r="F49" s="11"/>
      <c r="G49" s="11"/>
    </row>
    <row r="50" spans="1:13" x14ac:dyDescent="0.2">
      <c r="E50" s="1"/>
      <c r="K50" s="11" t="s">
        <v>39</v>
      </c>
      <c r="L50" s="33">
        <f>' Fixed Expenses'!L66</f>
        <v>10.633512432837685</v>
      </c>
    </row>
    <row r="51" spans="1:13" x14ac:dyDescent="0.2">
      <c r="E51" s="1"/>
    </row>
    <row r="52" spans="1:13" x14ac:dyDescent="0.2">
      <c r="C52" s="5" t="s">
        <v>42</v>
      </c>
      <c r="D52" s="33">
        <f>SUM(L50*H53)</f>
        <v>2.866175857907732E-2</v>
      </c>
      <c r="E52" s="1"/>
      <c r="K52" s="5" t="s">
        <v>102</v>
      </c>
      <c r="L52" s="33">
        <f>D54</f>
        <v>2.866175857907732E-2</v>
      </c>
    </row>
    <row r="53" spans="1:13" x14ac:dyDescent="0.2">
      <c r="C53" s="5" t="s">
        <v>43</v>
      </c>
      <c r="D53" s="33">
        <f>L44</f>
        <v>0</v>
      </c>
      <c r="E53" s="8" t="s">
        <v>103</v>
      </c>
      <c r="H53" s="46">
        <f>SUM(G8/' Fixed Expenses'!L3)</f>
        <v>2.6954177897574125E-3</v>
      </c>
      <c r="K53" s="5" t="s">
        <v>104</v>
      </c>
      <c r="L53" s="33">
        <f>L52*G47</f>
        <v>7.16543964476933E-3</v>
      </c>
    </row>
    <row r="54" spans="1:13" x14ac:dyDescent="0.2">
      <c r="C54" s="5" t="s">
        <v>102</v>
      </c>
      <c r="D54" s="33">
        <f>D52+D53</f>
        <v>2.866175857907732E-2</v>
      </c>
      <c r="E54" s="1"/>
      <c r="K54" s="5" t="s">
        <v>105</v>
      </c>
      <c r="L54" s="33">
        <f>L52+L53</f>
        <v>3.5827198223846647E-2</v>
      </c>
    </row>
    <row r="55" spans="1:13" x14ac:dyDescent="0.2">
      <c r="E55" s="1"/>
    </row>
    <row r="56" spans="1:13" x14ac:dyDescent="0.2">
      <c r="E56" s="1"/>
    </row>
    <row r="57" spans="1:13" x14ac:dyDescent="0.2">
      <c r="A57" s="8" t="s">
        <v>163</v>
      </c>
      <c r="B57" s="8" t="s">
        <v>15</v>
      </c>
      <c r="C57" s="8"/>
      <c r="D57" s="8"/>
      <c r="L57" s="10"/>
      <c r="M57" s="10"/>
    </row>
    <row r="58" spans="1:13" x14ac:dyDescent="0.2">
      <c r="L58" s="81"/>
      <c r="M58" s="10"/>
    </row>
    <row r="59" spans="1:13" x14ac:dyDescent="0.2">
      <c r="J59" s="76"/>
      <c r="K59" s="5" t="s">
        <v>17</v>
      </c>
      <c r="L59" s="52">
        <f>L52</f>
        <v>2.866175857907732E-2</v>
      </c>
      <c r="M59" s="10"/>
    </row>
    <row r="60" spans="1:13" x14ac:dyDescent="0.2">
      <c r="M60" s="10"/>
    </row>
    <row r="61" spans="1:13" x14ac:dyDescent="0.2">
      <c r="F61" s="5" t="s">
        <v>165</v>
      </c>
      <c r="G61" s="80">
        <v>0</v>
      </c>
      <c r="H61" s="91" t="s">
        <v>35</v>
      </c>
      <c r="M61" s="10"/>
    </row>
    <row r="62" spans="1:13" x14ac:dyDescent="0.2">
      <c r="F62" s="5" t="s">
        <v>162</v>
      </c>
      <c r="G62" s="79">
        <f>SUM(L62/L59)</f>
        <v>-1</v>
      </c>
      <c r="J62" s="76"/>
      <c r="K62" s="5" t="s">
        <v>18</v>
      </c>
      <c r="L62" s="52">
        <f>SUM(G61-L59)</f>
        <v>-2.866175857907732E-2</v>
      </c>
    </row>
    <row r="63" spans="1:13" x14ac:dyDescent="0.2">
      <c r="L63" s="10"/>
    </row>
    <row r="64" spans="1:13" x14ac:dyDescent="0.2">
      <c r="A64" s="8" t="s">
        <v>164</v>
      </c>
      <c r="B64" s="8" t="s">
        <v>158</v>
      </c>
      <c r="C64" s="8"/>
      <c r="D64" s="8"/>
      <c r="L64" s="10"/>
    </row>
    <row r="65" spans="6:12" x14ac:dyDescent="0.2">
      <c r="L65" s="10"/>
    </row>
    <row r="66" spans="6:12" x14ac:dyDescent="0.2">
      <c r="F66" s="5" t="s">
        <v>18</v>
      </c>
      <c r="G66" s="77">
        <f>L62</f>
        <v>-2.866175857907732E-2</v>
      </c>
      <c r="L66" s="10"/>
    </row>
    <row r="67" spans="6:12" x14ac:dyDescent="0.2">
      <c r="F67" s="5" t="s">
        <v>159</v>
      </c>
      <c r="G67" s="74">
        <f>G8</f>
        <v>1</v>
      </c>
      <c r="L67" s="10"/>
    </row>
    <row r="68" spans="6:12" x14ac:dyDescent="0.2">
      <c r="L68" s="10"/>
    </row>
    <row r="69" spans="6:12" x14ac:dyDescent="0.2">
      <c r="F69" s="5" t="s">
        <v>160</v>
      </c>
      <c r="G69" s="78">
        <f>SUM(G67*G66)</f>
        <v>-2.866175857907732E-2</v>
      </c>
    </row>
  </sheetData>
  <phoneticPr fontId="0" type="noConversion"/>
  <pageMargins left="0.75" right="0.75" top="1" bottom="1" header="0.5" footer="0.5"/>
  <pageSetup orientation="landscape" horizontalDpi="360" verticalDpi="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C8286-1218-4955-A163-EFD500BEB7CE}">
  <sheetPr codeName="Sheet23"/>
  <dimension ref="A2:O69"/>
  <sheetViews>
    <sheetView workbookViewId="0">
      <selection activeCell="O3" sqref="O3"/>
    </sheetView>
  </sheetViews>
  <sheetFormatPr defaultColWidth="8.85546875" defaultRowHeight="12.75" x14ac:dyDescent="0.2"/>
  <cols>
    <col min="1" max="1" width="8.85546875" customWidth="1"/>
    <col min="2" max="2" width="9.42578125" customWidth="1"/>
    <col min="3" max="5" width="8.85546875" customWidth="1"/>
    <col min="6" max="6" width="10.42578125" customWidth="1"/>
    <col min="7" max="7" width="10.28515625" bestFit="1" customWidth="1"/>
    <col min="8" max="10" width="8.85546875" customWidth="1"/>
    <col min="11" max="11" width="16.140625" customWidth="1"/>
    <col min="12" max="12" width="11.42578125" customWidth="1"/>
  </cols>
  <sheetData>
    <row r="2" spans="1:15" x14ac:dyDescent="0.2">
      <c r="A2" s="11" t="s">
        <v>9</v>
      </c>
      <c r="B2" s="11"/>
      <c r="C2" s="3">
        <f>'Total Course Profit'!B27</f>
        <v>0</v>
      </c>
      <c r="D2" s="3"/>
    </row>
    <row r="3" spans="1:15" x14ac:dyDescent="0.2">
      <c r="B3" s="86"/>
      <c r="C3" s="10"/>
      <c r="D3" s="10"/>
      <c r="E3" s="1"/>
      <c r="I3" s="5"/>
      <c r="J3" s="23"/>
      <c r="N3" s="49"/>
      <c r="O3" s="49"/>
    </row>
    <row r="4" spans="1:15" x14ac:dyDescent="0.2">
      <c r="E4" s="1"/>
      <c r="I4" s="5"/>
      <c r="J4" s="23"/>
    </row>
    <row r="5" spans="1:15" x14ac:dyDescent="0.2">
      <c r="A5" s="8" t="s">
        <v>99</v>
      </c>
      <c r="B5" s="8" t="s">
        <v>70</v>
      </c>
      <c r="C5" s="8"/>
      <c r="D5" s="8"/>
      <c r="E5" s="24"/>
      <c r="I5" s="5"/>
      <c r="J5" s="23"/>
    </row>
    <row r="6" spans="1:15" x14ac:dyDescent="0.2">
      <c r="A6" s="8"/>
      <c r="B6" s="8"/>
      <c r="C6" s="8"/>
      <c r="D6" s="8"/>
      <c r="E6" s="24"/>
      <c r="I6" s="5"/>
      <c r="J6" s="23"/>
    </row>
    <row r="7" spans="1:15" x14ac:dyDescent="0.2">
      <c r="A7" s="25" t="s">
        <v>106</v>
      </c>
      <c r="B7" s="4"/>
      <c r="C7" s="4"/>
      <c r="E7" s="24"/>
      <c r="G7" s="26" t="s">
        <v>10</v>
      </c>
      <c r="I7" s="5"/>
      <c r="J7" s="23"/>
      <c r="K7" s="5" t="s">
        <v>52</v>
      </c>
      <c r="L7" s="3">
        <f>'Data Entry'!G21</f>
        <v>371</v>
      </c>
    </row>
    <row r="8" spans="1:15" x14ac:dyDescent="0.2">
      <c r="A8" s="27" t="s">
        <v>71</v>
      </c>
      <c r="B8" s="25"/>
      <c r="C8" s="25"/>
      <c r="E8" s="24"/>
      <c r="G8" s="50">
        <v>1</v>
      </c>
      <c r="I8" s="5"/>
      <c r="J8" s="23"/>
    </row>
    <row r="9" spans="1:15" x14ac:dyDescent="0.2">
      <c r="A9" s="27" t="s">
        <v>72</v>
      </c>
      <c r="B9" s="25"/>
      <c r="C9" s="25"/>
      <c r="E9" s="1"/>
      <c r="G9" s="28">
        <v>1</v>
      </c>
      <c r="K9" s="5"/>
      <c r="L9" s="23"/>
    </row>
    <row r="10" spans="1:15" x14ac:dyDescent="0.2">
      <c r="A10" s="27"/>
      <c r="B10" s="25"/>
      <c r="C10" s="25"/>
      <c r="D10" s="29"/>
      <c r="E10" s="1"/>
      <c r="K10" s="5"/>
      <c r="L10" s="23"/>
    </row>
    <row r="11" spans="1:15" x14ac:dyDescent="0.2">
      <c r="A11" s="8" t="s">
        <v>100</v>
      </c>
      <c r="B11" s="8" t="s">
        <v>74</v>
      </c>
      <c r="C11" s="4"/>
      <c r="D11" s="4"/>
      <c r="E11" s="9"/>
    </row>
    <row r="12" spans="1:15" x14ac:dyDescent="0.2">
      <c r="A12" s="11"/>
      <c r="B12" s="11"/>
      <c r="E12" s="1"/>
    </row>
    <row r="13" spans="1:15" x14ac:dyDescent="0.2">
      <c r="A13" s="11" t="s">
        <v>55</v>
      </c>
      <c r="E13" s="1"/>
      <c r="G13" s="5" t="s">
        <v>56</v>
      </c>
    </row>
    <row r="14" spans="1:15" x14ac:dyDescent="0.2">
      <c r="A14" t="s">
        <v>75</v>
      </c>
      <c r="E14" s="1"/>
      <c r="G14" s="30">
        <v>0</v>
      </c>
      <c r="I14" t="s">
        <v>76</v>
      </c>
      <c r="L14" s="31">
        <f t="shared" ref="L14:L23" si="0">G14</f>
        <v>0</v>
      </c>
    </row>
    <row r="15" spans="1:15" x14ac:dyDescent="0.2">
      <c r="A15" t="s">
        <v>77</v>
      </c>
      <c r="E15" s="1"/>
      <c r="G15" s="30">
        <v>0</v>
      </c>
      <c r="I15" t="s">
        <v>76</v>
      </c>
      <c r="L15" s="31">
        <f t="shared" si="0"/>
        <v>0</v>
      </c>
    </row>
    <row r="16" spans="1:15" x14ac:dyDescent="0.2">
      <c r="A16" t="s">
        <v>78</v>
      </c>
      <c r="E16" s="1"/>
      <c r="G16" s="32">
        <v>0</v>
      </c>
      <c r="I16" t="s">
        <v>76</v>
      </c>
      <c r="L16" s="31">
        <f t="shared" si="0"/>
        <v>0</v>
      </c>
    </row>
    <row r="17" spans="1:12" x14ac:dyDescent="0.2">
      <c r="A17" t="s">
        <v>79</v>
      </c>
      <c r="E17" s="1"/>
      <c r="G17" s="30">
        <v>0</v>
      </c>
      <c r="I17" t="s">
        <v>76</v>
      </c>
      <c r="L17" s="31">
        <f t="shared" si="0"/>
        <v>0</v>
      </c>
    </row>
    <row r="18" spans="1:12" x14ac:dyDescent="0.2">
      <c r="A18" t="s">
        <v>80</v>
      </c>
      <c r="E18" s="1"/>
      <c r="G18" s="30">
        <v>0</v>
      </c>
      <c r="I18" t="s">
        <v>76</v>
      </c>
      <c r="L18" s="31">
        <f t="shared" si="0"/>
        <v>0</v>
      </c>
    </row>
    <row r="19" spans="1:12" x14ac:dyDescent="0.2">
      <c r="A19" t="s">
        <v>81</v>
      </c>
      <c r="E19" s="1"/>
      <c r="G19" s="30">
        <v>0</v>
      </c>
      <c r="I19" t="s">
        <v>76</v>
      </c>
      <c r="L19" s="31">
        <f t="shared" si="0"/>
        <v>0</v>
      </c>
    </row>
    <row r="20" spans="1:12" x14ac:dyDescent="0.2">
      <c r="A20" t="s">
        <v>82</v>
      </c>
      <c r="E20" s="1"/>
      <c r="G20" s="30">
        <v>0</v>
      </c>
      <c r="I20" t="s">
        <v>76</v>
      </c>
      <c r="L20" s="31">
        <f t="shared" si="0"/>
        <v>0</v>
      </c>
    </row>
    <row r="21" spans="1:12" x14ac:dyDescent="0.2">
      <c r="A21" s="13" t="s">
        <v>60</v>
      </c>
      <c r="E21" s="1"/>
      <c r="G21" s="30">
        <v>0</v>
      </c>
      <c r="I21" t="s">
        <v>76</v>
      </c>
      <c r="L21" s="31">
        <f t="shared" si="0"/>
        <v>0</v>
      </c>
    </row>
    <row r="22" spans="1:12" x14ac:dyDescent="0.2">
      <c r="A22" s="13" t="s">
        <v>60</v>
      </c>
      <c r="E22" s="1"/>
      <c r="G22" s="30">
        <v>0</v>
      </c>
      <c r="I22" t="s">
        <v>76</v>
      </c>
      <c r="L22" s="31">
        <f t="shared" si="0"/>
        <v>0</v>
      </c>
    </row>
    <row r="23" spans="1:12" x14ac:dyDescent="0.2">
      <c r="A23" s="13" t="s">
        <v>60</v>
      </c>
      <c r="E23" s="1"/>
      <c r="G23" s="30">
        <v>0</v>
      </c>
      <c r="I23" t="s">
        <v>76</v>
      </c>
      <c r="L23" s="31">
        <f t="shared" si="0"/>
        <v>0</v>
      </c>
    </row>
    <row r="24" spans="1:12" x14ac:dyDescent="0.2">
      <c r="E24" s="1"/>
      <c r="G24" s="1"/>
      <c r="K24" s="5" t="s">
        <v>83</v>
      </c>
      <c r="L24" s="33">
        <f>SUM(L14:L23)</f>
        <v>0</v>
      </c>
    </row>
    <row r="25" spans="1:12" x14ac:dyDescent="0.2">
      <c r="A25" s="11"/>
      <c r="B25" s="11"/>
      <c r="E25" s="1"/>
      <c r="L25" s="1"/>
    </row>
    <row r="26" spans="1:12" x14ac:dyDescent="0.2">
      <c r="A26" s="11" t="s">
        <v>55</v>
      </c>
      <c r="E26" s="1"/>
      <c r="G26" s="5" t="s">
        <v>56</v>
      </c>
    </row>
    <row r="27" spans="1:12" x14ac:dyDescent="0.2">
      <c r="A27" t="s">
        <v>84</v>
      </c>
      <c r="E27" s="1"/>
      <c r="G27" s="30">
        <v>0</v>
      </c>
      <c r="I27" t="s">
        <v>85</v>
      </c>
      <c r="L27" s="31">
        <f>G27/$G$9</f>
        <v>0</v>
      </c>
    </row>
    <row r="28" spans="1:12" x14ac:dyDescent="0.2">
      <c r="A28" t="s">
        <v>86</v>
      </c>
      <c r="D28" s="34"/>
      <c r="E28" s="35"/>
      <c r="G28" s="30">
        <v>0</v>
      </c>
      <c r="I28" t="s">
        <v>85</v>
      </c>
      <c r="L28" s="31">
        <f>G28/$G$9</f>
        <v>0</v>
      </c>
    </row>
    <row r="29" spans="1:12" x14ac:dyDescent="0.2">
      <c r="A29" t="s">
        <v>87</v>
      </c>
      <c r="E29" s="36" t="s">
        <v>88</v>
      </c>
    </row>
    <row r="30" spans="1:12" x14ac:dyDescent="0.2">
      <c r="D30" t="s">
        <v>173</v>
      </c>
      <c r="E30" s="19">
        <v>0</v>
      </c>
      <c r="G30" s="30">
        <v>0</v>
      </c>
      <c r="I30" t="s">
        <v>89</v>
      </c>
      <c r="L30" s="31">
        <f>SUM(E30*G30)</f>
        <v>0</v>
      </c>
    </row>
    <row r="31" spans="1:12" x14ac:dyDescent="0.2">
      <c r="A31" t="s">
        <v>50</v>
      </c>
      <c r="D31" s="37" t="s">
        <v>90</v>
      </c>
      <c r="E31" s="37" t="s">
        <v>91</v>
      </c>
      <c r="G31" s="38"/>
      <c r="H31" s="10"/>
      <c r="I31" s="10"/>
      <c r="J31" s="10"/>
      <c r="K31" s="10"/>
      <c r="L31" s="39"/>
    </row>
    <row r="32" spans="1:12" x14ac:dyDescent="0.2">
      <c r="B32" t="s">
        <v>92</v>
      </c>
      <c r="D32" s="19">
        <v>0</v>
      </c>
      <c r="E32" s="19">
        <v>0</v>
      </c>
      <c r="G32" s="40">
        <f>SUM(D32+E32)*G9</f>
        <v>0</v>
      </c>
      <c r="I32" t="s">
        <v>85</v>
      </c>
      <c r="L32" s="41">
        <f>SUM(G32/G9)</f>
        <v>0</v>
      </c>
    </row>
    <row r="33" spans="1:12" x14ac:dyDescent="0.2">
      <c r="A33" t="s">
        <v>93</v>
      </c>
      <c r="E33" s="1"/>
      <c r="G33" s="30">
        <v>0</v>
      </c>
      <c r="I33" t="s">
        <v>85</v>
      </c>
      <c r="L33" s="31">
        <f>G33/$G$9</f>
        <v>0</v>
      </c>
    </row>
    <row r="34" spans="1:12" x14ac:dyDescent="0.2">
      <c r="A34" t="s">
        <v>94</v>
      </c>
      <c r="E34" s="1"/>
      <c r="G34" s="30">
        <v>0</v>
      </c>
      <c r="I34" t="s">
        <v>85</v>
      </c>
      <c r="L34" s="31">
        <f>G34/$G$9</f>
        <v>0</v>
      </c>
    </row>
    <row r="35" spans="1:12" x14ac:dyDescent="0.2">
      <c r="A35" t="s">
        <v>95</v>
      </c>
      <c r="E35" s="1"/>
      <c r="G35" s="30">
        <v>0</v>
      </c>
      <c r="I35" t="s">
        <v>85</v>
      </c>
      <c r="L35" s="31">
        <f>G35/$G$9</f>
        <v>0</v>
      </c>
    </row>
    <row r="36" spans="1:12" x14ac:dyDescent="0.2">
      <c r="A36" t="s">
        <v>96</v>
      </c>
      <c r="E36" s="1"/>
      <c r="G36" s="30">
        <v>0</v>
      </c>
      <c r="I36" t="s">
        <v>85</v>
      </c>
      <c r="L36" s="31">
        <f>G36/$G$9</f>
        <v>0</v>
      </c>
    </row>
    <row r="37" spans="1:12" x14ac:dyDescent="0.2">
      <c r="A37" t="s">
        <v>97</v>
      </c>
      <c r="E37" s="37" t="s">
        <v>98</v>
      </c>
    </row>
    <row r="38" spans="1:12" x14ac:dyDescent="0.2">
      <c r="E38" s="19">
        <v>1</v>
      </c>
      <c r="G38" s="42">
        <v>0</v>
      </c>
      <c r="I38" t="s">
        <v>85</v>
      </c>
      <c r="L38" s="40">
        <f>SUM(G38/E38)/G9</f>
        <v>0</v>
      </c>
    </row>
    <row r="39" spans="1:12" x14ac:dyDescent="0.2">
      <c r="A39" s="13" t="s">
        <v>60</v>
      </c>
      <c r="E39" s="1"/>
      <c r="G39" s="30">
        <v>0</v>
      </c>
      <c r="I39" t="s">
        <v>85</v>
      </c>
      <c r="L39" s="31">
        <f>G39/$G$9</f>
        <v>0</v>
      </c>
    </row>
    <row r="40" spans="1:12" x14ac:dyDescent="0.2">
      <c r="A40" s="13" t="s">
        <v>60</v>
      </c>
      <c r="E40" s="1"/>
      <c r="G40" s="30">
        <v>0</v>
      </c>
      <c r="I40" t="s">
        <v>85</v>
      </c>
      <c r="L40" s="31">
        <f>G40/$G$9</f>
        <v>0</v>
      </c>
    </row>
    <row r="41" spans="1:12" x14ac:dyDescent="0.2">
      <c r="A41" s="13" t="s">
        <v>60</v>
      </c>
      <c r="E41" s="1"/>
      <c r="G41" s="30">
        <v>0</v>
      </c>
      <c r="I41" t="s">
        <v>85</v>
      </c>
      <c r="L41" s="31">
        <f>G41/$G$9</f>
        <v>0</v>
      </c>
    </row>
    <row r="42" spans="1:12" x14ac:dyDescent="0.2">
      <c r="E42" s="1"/>
      <c r="G42" s="1"/>
      <c r="I42" s="5" t="s">
        <v>83</v>
      </c>
      <c r="L42" s="33">
        <f>SUM(L27:L41)</f>
        <v>0</v>
      </c>
    </row>
    <row r="43" spans="1:12" x14ac:dyDescent="0.2">
      <c r="E43" s="1"/>
      <c r="L43" s="43"/>
    </row>
    <row r="44" spans="1:12" x14ac:dyDescent="0.2">
      <c r="E44" s="1"/>
      <c r="G44" s="1"/>
      <c r="J44" s="5" t="s">
        <v>44</v>
      </c>
      <c r="L44" s="33">
        <f>L24+L42</f>
        <v>0</v>
      </c>
    </row>
    <row r="45" spans="1:12" x14ac:dyDescent="0.2">
      <c r="E45" s="1"/>
    </row>
    <row r="46" spans="1:12" x14ac:dyDescent="0.2">
      <c r="E46" s="1"/>
    </row>
    <row r="47" spans="1:12" x14ac:dyDescent="0.2">
      <c r="A47" s="44" t="s">
        <v>14</v>
      </c>
      <c r="B47" s="8" t="s">
        <v>16</v>
      </c>
      <c r="C47" s="4"/>
      <c r="E47" s="1"/>
      <c r="G47" s="45">
        <v>0.25</v>
      </c>
    </row>
    <row r="48" spans="1:12" x14ac:dyDescent="0.2">
      <c r="E48" s="1"/>
    </row>
    <row r="49" spans="1:13" x14ac:dyDescent="0.2">
      <c r="A49" s="8" t="s">
        <v>157</v>
      </c>
      <c r="B49" s="8" t="s">
        <v>101</v>
      </c>
      <c r="C49" s="8"/>
      <c r="D49" s="8"/>
      <c r="E49" s="24"/>
      <c r="F49" s="11"/>
      <c r="G49" s="11"/>
    </row>
    <row r="50" spans="1:13" x14ac:dyDescent="0.2">
      <c r="E50" s="1"/>
      <c r="K50" s="11" t="s">
        <v>39</v>
      </c>
      <c r="L50" s="33">
        <f>' Fixed Expenses'!L66</f>
        <v>10.633512432837685</v>
      </c>
    </row>
    <row r="51" spans="1:13" x14ac:dyDescent="0.2">
      <c r="E51" s="1"/>
    </row>
    <row r="52" spans="1:13" x14ac:dyDescent="0.2">
      <c r="C52" s="5" t="s">
        <v>42</v>
      </c>
      <c r="D52" s="33">
        <f>SUM(L50*H53)</f>
        <v>2.866175857907732E-2</v>
      </c>
      <c r="E52" s="1"/>
      <c r="K52" s="5" t="s">
        <v>102</v>
      </c>
      <c r="L52" s="33">
        <f>D54</f>
        <v>2.866175857907732E-2</v>
      </c>
    </row>
    <row r="53" spans="1:13" x14ac:dyDescent="0.2">
      <c r="C53" s="5" t="s">
        <v>43</v>
      </c>
      <c r="D53" s="33">
        <f>L44</f>
        <v>0</v>
      </c>
      <c r="E53" s="8" t="s">
        <v>103</v>
      </c>
      <c r="H53" s="46">
        <f>SUM(G8/' Fixed Expenses'!L3)</f>
        <v>2.6954177897574125E-3</v>
      </c>
      <c r="K53" s="5" t="s">
        <v>104</v>
      </c>
      <c r="L53" s="33">
        <f>L52*G47</f>
        <v>7.16543964476933E-3</v>
      </c>
    </row>
    <row r="54" spans="1:13" x14ac:dyDescent="0.2">
      <c r="C54" s="5" t="s">
        <v>102</v>
      </c>
      <c r="D54" s="33">
        <f>D52+D53</f>
        <v>2.866175857907732E-2</v>
      </c>
      <c r="E54" s="1"/>
      <c r="K54" s="5" t="s">
        <v>105</v>
      </c>
      <c r="L54" s="33">
        <f>L52+L53</f>
        <v>3.5827198223846647E-2</v>
      </c>
    </row>
    <row r="55" spans="1:13" x14ac:dyDescent="0.2">
      <c r="E55" s="1"/>
    </row>
    <row r="56" spans="1:13" x14ac:dyDescent="0.2">
      <c r="E56" s="1"/>
    </row>
    <row r="57" spans="1:13" x14ac:dyDescent="0.2">
      <c r="A57" s="8" t="s">
        <v>163</v>
      </c>
      <c r="B57" s="8" t="s">
        <v>15</v>
      </c>
      <c r="C57" s="8"/>
      <c r="D57" s="8"/>
      <c r="L57" s="10"/>
      <c r="M57" s="10"/>
    </row>
    <row r="58" spans="1:13" x14ac:dyDescent="0.2">
      <c r="L58" s="81"/>
      <c r="M58" s="10"/>
    </row>
    <row r="59" spans="1:13" x14ac:dyDescent="0.2">
      <c r="J59" s="76"/>
      <c r="K59" s="5" t="s">
        <v>17</v>
      </c>
      <c r="L59" s="52">
        <f>L52</f>
        <v>2.866175857907732E-2</v>
      </c>
      <c r="M59" s="10"/>
    </row>
    <row r="60" spans="1:13" x14ac:dyDescent="0.2">
      <c r="M60" s="10"/>
    </row>
    <row r="61" spans="1:13" x14ac:dyDescent="0.2">
      <c r="F61" s="5" t="s">
        <v>165</v>
      </c>
      <c r="G61" s="80">
        <v>0</v>
      </c>
      <c r="H61" s="91" t="s">
        <v>35</v>
      </c>
      <c r="M61" s="10"/>
    </row>
    <row r="62" spans="1:13" x14ac:dyDescent="0.2">
      <c r="F62" s="5" t="s">
        <v>162</v>
      </c>
      <c r="G62" s="79">
        <f>SUM(L62/L59)</f>
        <v>-1</v>
      </c>
      <c r="J62" s="76"/>
      <c r="K62" s="5" t="s">
        <v>18</v>
      </c>
      <c r="L62" s="52">
        <f>SUM(G61-L59)</f>
        <v>-2.866175857907732E-2</v>
      </c>
    </row>
    <row r="63" spans="1:13" x14ac:dyDescent="0.2">
      <c r="L63" s="10"/>
    </row>
    <row r="64" spans="1:13" x14ac:dyDescent="0.2">
      <c r="A64" s="8" t="s">
        <v>164</v>
      </c>
      <c r="B64" s="8" t="s">
        <v>158</v>
      </c>
      <c r="C64" s="8"/>
      <c r="D64" s="8"/>
      <c r="L64" s="10"/>
    </row>
    <row r="65" spans="6:12" x14ac:dyDescent="0.2">
      <c r="L65" s="10"/>
    </row>
    <row r="66" spans="6:12" x14ac:dyDescent="0.2">
      <c r="F66" s="5" t="s">
        <v>18</v>
      </c>
      <c r="G66" s="77">
        <f>L62</f>
        <v>-2.866175857907732E-2</v>
      </c>
      <c r="L66" s="10"/>
    </row>
    <row r="67" spans="6:12" x14ac:dyDescent="0.2">
      <c r="F67" s="5" t="s">
        <v>159</v>
      </c>
      <c r="G67" s="74">
        <f>G8</f>
        <v>1</v>
      </c>
      <c r="L67" s="10"/>
    </row>
    <row r="68" spans="6:12" x14ac:dyDescent="0.2">
      <c r="L68" s="10"/>
    </row>
    <row r="69" spans="6:12" x14ac:dyDescent="0.2">
      <c r="F69" s="5" t="s">
        <v>160</v>
      </c>
      <c r="G69" s="78">
        <f>SUM(G67*G66)</f>
        <v>-2.866175857907732E-2</v>
      </c>
    </row>
  </sheetData>
  <phoneticPr fontId="0" type="noConversion"/>
  <pageMargins left="0.75" right="0.75" top="1" bottom="1" header="0.5" footer="0.5"/>
  <pageSetup orientation="landscape" horizontalDpi="36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4</vt:i4>
      </vt:variant>
    </vt:vector>
  </HeadingPairs>
  <TitlesOfParts>
    <vt:vector size="27" baseType="lpstr">
      <vt:lpstr>Data Entry</vt:lpstr>
      <vt:lpstr>Total Course Profit</vt:lpstr>
      <vt:lpstr> Fixed Expenses</vt:lpstr>
      <vt:lpstr>Open Water</vt:lpstr>
      <vt:lpstr>Advanced</vt:lpstr>
      <vt:lpstr>Adventure Diver</vt:lpstr>
      <vt:lpstr> EFR</vt:lpstr>
      <vt:lpstr>Rescue</vt:lpstr>
      <vt:lpstr>Divemaster</vt:lpstr>
      <vt:lpstr>Assistant Instructor</vt:lpstr>
      <vt:lpstr>OWSI</vt:lpstr>
      <vt:lpstr>PADI Seal Team</vt:lpstr>
      <vt:lpstr>Bubblemaker</vt:lpstr>
      <vt:lpstr>Specialty (1)</vt:lpstr>
      <vt:lpstr>Specialty (2)</vt:lpstr>
      <vt:lpstr>Specialty (3)</vt:lpstr>
      <vt:lpstr>Specialty (4)</vt:lpstr>
      <vt:lpstr>Specialty (5)</vt:lpstr>
      <vt:lpstr>Specialty (6)</vt:lpstr>
      <vt:lpstr>Specialty (7)</vt:lpstr>
      <vt:lpstr>Specialty (8)</vt:lpstr>
      <vt:lpstr>Specialty (9)</vt:lpstr>
      <vt:lpstr>Specialty (10)</vt:lpstr>
      <vt:lpstr>' Fixed Expenses'!Print_Area</vt:lpstr>
      <vt:lpstr>'Data Entry'!Print_Area</vt:lpstr>
      <vt:lpstr>'Open Water'!Print_Area</vt:lpstr>
      <vt:lpstr>'Total Course Profit'!Print_Area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cp:lastModifiedBy>Blanca Williams</cp:lastModifiedBy>
  <cp:lastPrinted>2003-04-07T20:37:09Z</cp:lastPrinted>
  <dcterms:created xsi:type="dcterms:W3CDTF">2001-12-16T04:03:28Z</dcterms:created>
  <dcterms:modified xsi:type="dcterms:W3CDTF">2025-06-02T22:12:43Z</dcterms:modified>
</cp:coreProperties>
</file>